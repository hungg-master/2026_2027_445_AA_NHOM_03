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Sprint 1" sheetId="1" r:id="rId1"/>
    <sheet name="Sprint 2" sheetId="2" r:id="rId2"/>
    <sheet name="Tota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<sst xmlns="http://schemas.openxmlformats.org/spreadsheetml/2006/main" count="335" uniqueCount="162">
  <si>
    <t>Project name:</t>
  </si>
  <si>
    <t>SmartTrial</t>
  </si>
  <si>
    <t>Kết thúc</t>
  </si>
  <si>
    <t>Module name:</t>
  </si>
  <si>
    <t>Sprint 1</t>
  </si>
  <si>
    <t>Tăng ca</t>
  </si>
  <si>
    <t>Start date:</t>
  </si>
  <si>
    <t>Muộn</t>
  </si>
  <si>
    <t>End date:</t>
  </si>
  <si>
    <t>Chậm tiến độ</t>
  </si>
  <si>
    <t>Trước thời hạn</t>
  </si>
  <si>
    <t>SPRINT 1 REPORT</t>
  </si>
  <si>
    <t>No</t>
  </si>
  <si>
    <t>Thành viên</t>
  </si>
  <si>
    <t>Thực tế</t>
  </si>
  <si>
    <t>Ước tính</t>
  </si>
  <si>
    <t>Phạm Phú Hưng</t>
  </si>
  <si>
    <t>Nguyễn Minh Khôi</t>
  </si>
  <si>
    <t>Nguyễn Đăng Khôi</t>
  </si>
  <si>
    <t>Trần Tấn Huy</t>
  </si>
  <si>
    <t>Tổng</t>
  </si>
  <si>
    <t>Sprint</t>
  </si>
  <si>
    <t>Component</t>
  </si>
  <si>
    <t>Task name</t>
  </si>
  <si>
    <t>Responsible Member</t>
  </si>
  <si>
    <t>26/8</t>
  </si>
  <si>
    <t>27/08</t>
  </si>
  <si>
    <t>28/08</t>
  </si>
  <si>
    <t>29/08</t>
  </si>
  <si>
    <t>30/08</t>
  </si>
  <si>
    <t>31/08</t>
  </si>
  <si>
    <t>Ngày</t>
  </si>
  <si>
    <t>SPRINT 1</t>
  </si>
  <si>
    <t>Sprint Planning</t>
  </si>
  <si>
    <t>Họp kế hoạch Sprint 1</t>
  </si>
  <si>
    <t>All team</t>
  </si>
  <si>
    <t>Tạo Sprint Backlog 1</t>
  </si>
  <si>
    <t>Khôi, Đăng Khôi</t>
  </si>
  <si>
    <t>Tạo tài liệu kiểm thử cho Sprint 1</t>
  </si>
  <si>
    <t>Huy, Khôi</t>
  </si>
  <si>
    <t>User interface design</t>
  </si>
  <si>
    <t>Thiết kế giao diện Đăng nhập</t>
  </si>
  <si>
    <t>Huy</t>
  </si>
  <si>
    <t>Thiết kế giao diện Đăng ký</t>
  </si>
  <si>
    <t>Khôi</t>
  </si>
  <si>
    <t>Thiết kế giao diện Đổi mật khẩu</t>
  </si>
  <si>
    <t>Thiết kế giao diện Tài khoản cá nhân</t>
  </si>
  <si>
    <t>Thiết kế giao diện Lấy lại mật khẩu</t>
  </si>
  <si>
    <t>Thiết kế giao diện Xem thông tin giáo viên</t>
  </si>
  <si>
    <t>Thiết kế giao diện Tìm kiếm giáo viên</t>
  </si>
  <si>
    <t>Thiết kế giao diện Xem lịch trống</t>
  </si>
  <si>
    <t>Review toàn bộ giao diện Sprint</t>
  </si>
  <si>
    <t>Design test case</t>
  </si>
  <si>
    <t>Thiết kế test case cho Đăng nhập</t>
  </si>
  <si>
    <t>Thiết kế test case cho Đăng ký</t>
  </si>
  <si>
    <t>Thiết kế test case cho Đổi mật khẩu</t>
  </si>
  <si>
    <t>Thiết kế test case cho Tài khoản cá nhân</t>
  </si>
  <si>
    <t>Thiết kế test case cho Lấy lại mật khẩu</t>
  </si>
  <si>
    <t>Thiết kế test case cho Xem thông tin giáo viên</t>
  </si>
  <si>
    <t>Thiết kế test case cho Tìm kiếm giáo viên</t>
  </si>
  <si>
    <t>Thiết kế test case cho Xem lịch trống</t>
  </si>
  <si>
    <t>Review toàn bộ test case Sprint</t>
  </si>
  <si>
    <t>Development</t>
  </si>
  <si>
    <t>Code chức năng Đăng nhập</t>
  </si>
  <si>
    <t>Đăng Khôi</t>
  </si>
  <si>
    <t>Code chức năng Đăng ký</t>
  </si>
  <si>
    <t>Hưng</t>
  </si>
  <si>
    <t>Code chức năng Đổi mật khẩu</t>
  </si>
  <si>
    <t>Code chức năng Tài khoản cá nhân</t>
  </si>
  <si>
    <t>Code chức năng Lấy lại mật khẩu</t>
  </si>
  <si>
    <t>Code chức năng Xem thông tin giáo viên</t>
  </si>
  <si>
    <t>Code chức năng Tìm kiếm giáo viên</t>
  </si>
  <si>
    <t>Code chức năng Xem lịch trống</t>
  </si>
  <si>
    <t>Testing &amp; Fix bug</t>
  </si>
  <si>
    <t>Test chức năng Đăng nhập</t>
  </si>
  <si>
    <t>Fix bug Đăng nhập</t>
  </si>
  <si>
    <t>Test chức năng Đăng ký</t>
  </si>
  <si>
    <t>Fix bug Đăng ký</t>
  </si>
  <si>
    <t>Test chức năng Đổi mật khẩu</t>
  </si>
  <si>
    <t>Fix bug Đổi mật khẩu</t>
  </si>
  <si>
    <t>Test chức năng Tài khoản cá nhân</t>
  </si>
  <si>
    <t>Fix bug Tài khoản cá nhân</t>
  </si>
  <si>
    <t>Test chức năng Lấy lại mật khẩu</t>
  </si>
  <si>
    <t>Fix bug Lấy lại mật khẩu</t>
  </si>
  <si>
    <t>Test chức năng Xem thông tin giáo viên</t>
  </si>
  <si>
    <t>Fix bug Xem thông tin giáo viên</t>
  </si>
  <si>
    <t>Test chức năng Tìm kiếm giáo viên</t>
  </si>
  <si>
    <t>Fix bug Tìm kiếm giáo viên</t>
  </si>
  <si>
    <t>Test chức năng Xem lịch trống</t>
  </si>
  <si>
    <t>Fix bug Xem lịch trống</t>
  </si>
  <si>
    <t>Re-test toàn bộ Sprint 1</t>
  </si>
  <si>
    <t>Sprint Closing</t>
  </si>
  <si>
    <t>Họp tổng kết &amp; Demo Sprint 1</t>
  </si>
  <si>
    <t>Sprint 2</t>
  </si>
  <si>
    <t>SPRINT 2 REPORT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</si>
  <si>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</si>
  <si>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</si>
  <si>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</si>
  <si>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</si>
  <si>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</si>
  <si>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</si>
  <si>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</si>
  <si>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</si>
  <si>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</si>
  <si>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</si>
  <si>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</si>
  <si>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</si>
  <si>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</si>
  <si>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</si>
  <si>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</si>
  <si>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28/9/2026</t>
  </si>
  <si>
    <t>29/09/2026</t>
  </si>
  <si>
    <t>30/9/2026</t>
  </si>
  <si>
    <t>SPRINT 2</t>
  </si>
  <si>
    <t>Họp kế hoạch Sprint 2</t>
  </si>
  <si>
    <t>Tạo Sprint Backlog 2</t>
  </si>
  <si>
    <t>Tạo tài liệu kiểm thử cho Sprint 2</t>
  </si>
  <si>
    <t>Thiết kế giao diện Quản lý lịch dạy</t>
  </si>
  <si>
    <t>Thiết kế giao diện Đặt lịch học thử</t>
  </si>
  <si>
    <t>Thiết kế giao diện Xem lịch học</t>
  </si>
  <si>
    <t>Thiết kế giao diện Quản lý yêu cầu đặt lịch</t>
  </si>
  <si>
    <t>Thiết kế giao diện Tư vấn trực tuyến</t>
  </si>
  <si>
    <t>Thiết kế giao diện Chatbot AI</t>
  </si>
  <si>
    <t>Thiết kế giao diện Thanh toán</t>
  </si>
  <si>
    <t>Thiết kế giao diện Báo cáo và thống kê</t>
  </si>
  <si>
    <t>Thiết kế test case cho Quản lý lịch dạy</t>
  </si>
  <si>
    <t>Thiết kế test case cho Đặt lịch học thử</t>
  </si>
  <si>
    <t>Thiết kế test case cho Xem lịch học</t>
  </si>
  <si>
    <t>Thiết kế test case cho Quản lý yêu cầu đặt lịch</t>
  </si>
  <si>
    <t>Thiết kế test case cho Tư vấn trực tuyến</t>
  </si>
  <si>
    <t>Thiết kế test case cho Chatbot AI</t>
  </si>
  <si>
    <t>Thiết kế test case cho Thanh toán</t>
  </si>
  <si>
    <t>Thiết kế test case cho Báo cáo và thống kê</t>
  </si>
  <si>
    <t>Code chức năng Quản lý lịch dạy</t>
  </si>
  <si>
    <t>Code chức năng Đặt lịch học thử</t>
  </si>
  <si>
    <t>Code chức năng Xem lịch học</t>
  </si>
  <si>
    <t>Code chức năng Quản lý yêu cầu đặt lịch</t>
  </si>
  <si>
    <t>Code chức năng Tư vấn trực tuyến</t>
  </si>
  <si>
    <t>Code chức năng Chatbot AI</t>
  </si>
  <si>
    <t>Code chức năng Thanh toán</t>
  </si>
  <si>
    <t>Code chức năng Báo cáo và thống kê</t>
  </si>
  <si>
    <t>Test chức năng Quản lý lịch dạy</t>
  </si>
  <si>
    <t>Fix bug Quản lý lịch dạy</t>
  </si>
  <si>
    <t>Test chức năng Đặt lịch học thử</t>
  </si>
  <si>
    <t>Fix bug Đặt lịch học thử</t>
  </si>
  <si>
    <t>Test chức năng Xem lịch học</t>
  </si>
  <si>
    <t>Fix bug Xem lịch học</t>
  </si>
  <si>
    <t>Test chức năng Quản lý yêu cầu đặt lịch</t>
  </si>
  <si>
    <t>Fix bug Quản lý yêu cầu đặt lịch</t>
  </si>
  <si>
    <t>Test chức năng Tư vấn trực tuyến</t>
  </si>
  <si>
    <t>Fix bug Tư vấn trực tuyến</t>
  </si>
  <si>
    <t>Test chức năng Chatbot AI</t>
  </si>
  <si>
    <t>Fix bug Chatbot AI</t>
  </si>
  <si>
    <t>Test chức năng Thanh toán</t>
  </si>
  <si>
    <t>Fix bug Thanh toán</t>
  </si>
  <si>
    <t>Test chức năng Báo cáo và thống kê</t>
  </si>
  <si>
    <t>Fix bug Báo cáo và thống kê</t>
  </si>
  <si>
    <t>Re-test toàn bộ Sprint 2</t>
  </si>
  <si>
    <t>Họp tổng kết &amp; Demo Sprint 2</t>
  </si>
  <si>
    <t>SPRINT BACKLOG REPORT</t>
  </si>
  <si>
    <t>Minh Khôi</t>
  </si>
  <si>
    <t>FINAL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</si>
</sst>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dd/mm"/>
  </numFmts>
  <fonts count="34">
    <font>
      <sz val="11"/>
      <color theme="1"/>
      <name val="Calibri"/>
      <charset val="163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3"/>
      <name val="Times New Roman"/>
      <charset val="134"/>
    </font>
    <font>
      <b/>
      <sz val="10"/>
      <name val="Arial"/>
      <charset val="1"/>
    </font>
    <font>
      <b/>
      <sz val="8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sz val="8"/>
      <name val="Arial"/>
      <charset val="1"/>
    </font>
    <font>
      <sz val="11"/>
      <color theme="1"/>
      <name val="Calibri"/>
      <charset val="1"/>
    </font>
    <font>
      <b/>
      <sz val="9"/>
      <color rgb="FF000000"/>
      <name val="Arial"/>
      <charset val="1"/>
    </font>
    <font>
      <sz val="8"/>
      <color theme="1"/>
      <name val="Arial"/>
      <charset val="1"/>
    </font>
    <font>
      <sz val="13"/>
      <color theme="0"/>
      <name val="Times New Roman"/>
      <charset val="134"/>
    </font>
    <font>
      <b/>
      <sz val="13"/>
      <color theme="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D9D9D9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CC0000"/>
      </patternFill>
    </fill>
    <fill>
      <patternFill patternType="solid">
        <fgColor rgb="FFEDEDED"/>
        <bgColor rgb="FFFFFFFF"/>
      </patternFill>
    </fill>
    <fill>
      <patternFill patternType="solid">
        <fgColor rgb="FFFF0000"/>
        <bgColor rgb="FFFF8080"/>
      </patternFill>
    </fill>
    <fill>
      <patternFill patternType="solid">
        <fgColor theme="0"/>
        <bgColor rgb="FFCC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0" borderId="1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1" borderId="22" applyNumberFormat="0" applyAlignment="0" applyProtection="0">
      <alignment vertical="center"/>
    </xf>
    <xf numFmtId="0" fontId="24" fillId="22" borderId="23" applyNumberFormat="0" applyAlignment="0" applyProtection="0">
      <alignment vertical="center"/>
    </xf>
    <xf numFmtId="0" fontId="25" fillId="22" borderId="22" applyNumberFormat="0" applyAlignment="0" applyProtection="0">
      <alignment vertical="center"/>
    </xf>
    <xf numFmtId="0" fontId="26" fillId="23" borderId="24" applyNumberFormat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3" xfId="0" applyFont="1" applyFill="1" applyBorder="1"/>
    <xf numFmtId="0" fontId="2" fillId="0" borderId="9" xfId="0" applyFont="1" applyBorder="1"/>
    <xf numFmtId="0" fontId="2" fillId="3" borderId="5" xfId="0" applyFont="1" applyFill="1" applyBorder="1"/>
    <xf numFmtId="0" fontId="2" fillId="0" borderId="10" xfId="0" applyFont="1" applyBorder="1"/>
    <xf numFmtId="0" fontId="1" fillId="0" borderId="11" xfId="0" applyFont="1" applyBorder="1" applyAlignment="1">
      <alignment horizontal="left"/>
    </xf>
    <xf numFmtId="0" fontId="1" fillId="0" borderId="11" xfId="0" applyFont="1" applyBorder="1"/>
    <xf numFmtId="0" fontId="2" fillId="0" borderId="0" xfId="0" applyFont="1"/>
    <xf numFmtId="0" fontId="2" fillId="4" borderId="7" xfId="0" applyFont="1" applyFill="1" applyBorder="1"/>
    <xf numFmtId="0" fontId="3" fillId="0" borderId="8" xfId="0" applyFont="1" applyBorder="1" applyAlignment="1">
      <alignment horizontal="left" vertical="center"/>
    </xf>
    <xf numFmtId="0" fontId="2" fillId="0" borderId="11" xfId="0" applyFont="1" applyBorder="1"/>
    <xf numFmtId="0" fontId="2" fillId="5" borderId="3" xfId="0" applyFont="1" applyFill="1" applyBorder="1"/>
    <xf numFmtId="0" fontId="3" fillId="0" borderId="9" xfId="0" applyFont="1" applyBorder="1" applyAlignment="1">
      <alignment horizontal="left" vertical="center" wrapText="1"/>
    </xf>
    <xf numFmtId="58" fontId="2" fillId="0" borderId="11" xfId="0" applyNumberFormat="1" applyFont="1" applyBorder="1" applyAlignment="1">
      <alignment horizontal="left"/>
    </xf>
    <xf numFmtId="0" fontId="2" fillId="6" borderId="3" xfId="0" applyFont="1" applyFill="1" applyBorder="1"/>
    <xf numFmtId="0" fontId="2" fillId="7" borderId="3" xfId="0" applyFont="1" applyFill="1" applyBorder="1"/>
    <xf numFmtId="0" fontId="2" fillId="8" borderId="5" xfId="0" applyFont="1" applyFill="1" applyBorder="1"/>
    <xf numFmtId="0" fontId="3" fillId="0" borderId="10" xfId="0" applyFont="1" applyBorder="1" applyAlignment="1">
      <alignment vertical="center" wrapText="1"/>
    </xf>
    <xf numFmtId="0" fontId="1" fillId="9" borderId="11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11" xfId="0" applyFont="1" applyFill="1" applyBorder="1"/>
    <xf numFmtId="0" fontId="4" fillId="12" borderId="13" xfId="0" applyFont="1" applyFill="1" applyBorder="1" applyAlignment="1">
      <alignment horizontal="center" vertical="center" wrapText="1"/>
    </xf>
    <xf numFmtId="178" fontId="5" fillId="12" borderId="13" xfId="0" applyNumberFormat="1" applyFont="1" applyFill="1" applyBorder="1" applyAlignment="1">
      <alignment horizontal="center" vertical="center" wrapText="1"/>
    </xf>
    <xf numFmtId="179" fontId="0" fillId="0" borderId="0" xfId="0" applyNumberFormat="1"/>
    <xf numFmtId="0" fontId="4" fillId="0" borderId="13" xfId="0" applyFont="1" applyFill="1" applyBorder="1" applyAlignment="1">
      <alignment horizontal="center" vertical="center" textRotation="90"/>
    </xf>
    <xf numFmtId="0" fontId="6" fillId="0" borderId="13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7" fillId="13" borderId="1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/>
    <xf numFmtId="0" fontId="10" fillId="14" borderId="13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4" fillId="16" borderId="13" xfId="0" applyFont="1" applyFill="1" applyBorder="1" applyAlignment="1">
      <alignment horizontal="center" vertical="center" wrapText="1"/>
    </xf>
    <xf numFmtId="0" fontId="4" fillId="16" borderId="14" xfId="0" applyFont="1" applyFill="1" applyBorder="1" applyAlignment="1">
      <alignment horizontal="center" vertical="center" wrapText="1"/>
    </xf>
    <xf numFmtId="0" fontId="4" fillId="16" borderId="15" xfId="0" applyFont="1" applyFill="1" applyBorder="1" applyAlignment="1">
      <alignment horizontal="center" vertical="center" wrapText="1"/>
    </xf>
    <xf numFmtId="0" fontId="4" fillId="16" borderId="16" xfId="0" applyFont="1" applyFill="1" applyBorder="1" applyAlignment="1">
      <alignment horizontal="center" vertical="center" wrapText="1"/>
    </xf>
    <xf numFmtId="0" fontId="4" fillId="16" borderId="17" xfId="0" applyFont="1" applyFill="1" applyBorder="1" applyAlignment="1">
      <alignment horizontal="center" vertical="center" wrapText="1"/>
    </xf>
    <xf numFmtId="0" fontId="4" fillId="16" borderId="18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 vertical="center" wrapText="1"/>
    </xf>
    <xf numFmtId="178" fontId="5" fillId="12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textRotation="90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/>
    <xf numFmtId="0" fontId="10" fillId="1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12" fillId="0" borderId="0" xfId="0" applyFont="1" applyBorder="1"/>
    <xf numFmtId="0" fontId="12" fillId="19" borderId="0" xfId="0" applyFont="1" applyFill="1" applyBorder="1"/>
    <xf numFmtId="0" fontId="13" fillId="19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0F035"/>
      <color rgb="00CC00CC"/>
      <color rgb="00FF66CC"/>
      <color rgb="00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1'!$AK$15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'Sprint 1'!$AL$14:$BB$14</c:f>
              <c:strCache>
                <c:ptCount val="17"/>
                <c:pt idx="0" c:formatCode="m/d/yyyy;@">
                  <c:v>26/8</c:v>
                </c:pt>
                <c:pt idx="1" c:formatCode="m/d/yyyy;@">
                  <c:v>27/08</c:v>
                </c:pt>
                <c:pt idx="2" c:formatCode="m/d/yyyy;@">
                  <c:v>28/08</c:v>
                </c:pt>
                <c:pt idx="3" c:formatCode="m/d/yyyy;@">
                  <c:v>29/08</c:v>
                </c:pt>
                <c:pt idx="4" c:formatCode="m/d/yyyy;@">
                  <c:v>30/08</c:v>
                </c:pt>
                <c:pt idx="5" c:formatCode="m/d/yyyy;@">
                  <c:v>31/08</c:v>
                </c:pt>
                <c:pt idx="6" c:formatCode="m/d/yyyy;@">
                  <c:v>1/9/2026</c:v>
                </c:pt>
                <c:pt idx="7" c:formatCode="m/d/yyyy;@">
                  <c:v>2/9/2026</c:v>
                </c:pt>
                <c:pt idx="8" c:formatCode="m/d/yyyy;@">
                  <c:v>3/9/2026</c:v>
                </c:pt>
                <c:pt idx="9" c:formatCode="m/d/yyyy;@">
                  <c:v>4/9/2026</c:v>
                </c:pt>
                <c:pt idx="10" c:formatCode="m/d/yyyy;@">
                  <c:v>5/9/2026</c:v>
                </c:pt>
                <c:pt idx="11" c:formatCode="m/d/yyyy;@">
                  <c:v>6/9/2026</c:v>
                </c:pt>
                <c:pt idx="12" c:formatCode="m/d/yyyy;@">
                  <c:v>7/9/2026</c:v>
                </c:pt>
                <c:pt idx="13" c:formatCode="m/d/yyyy;@">
                  <c:v>8/9/2026</c:v>
                </c:pt>
                <c:pt idx="14" c:formatCode="m/d/yyyy;@">
                  <c:v>9/9/2026</c:v>
                </c:pt>
                <c:pt idx="15" c:formatCode="m/d/yyyy;@">
                  <c:v>10/9/2026</c:v>
                </c:pt>
                <c:pt idx="16" c:formatCode="m/d/yyyy;@">
                  <c:v>11/9/2026</c:v>
                </c:pt>
              </c:strCache>
            </c:strRef>
          </c:cat>
          <c:val>
            <c:numRef>
              <c:f>'Sprint 1'!$AL$15:$BB$15</c:f>
              <c:numCache>
                <c:formatCode>General</c:formatCode>
                <c:ptCount val="17"/>
                <c:pt idx="0">
                  <c:v>55</c:v>
                </c:pt>
                <c:pt idx="1">
                  <c:v>53.5</c:v>
                </c:pt>
                <c:pt idx="2">
                  <c:v>51</c:v>
                </c:pt>
                <c:pt idx="3">
                  <c:v>45</c:v>
                </c:pt>
                <c:pt idx="4">
                  <c:v>40</c:v>
                </c:pt>
                <c:pt idx="5">
                  <c:v>37</c:v>
                </c:pt>
                <c:pt idx="6">
                  <c:v>36</c:v>
                </c:pt>
                <c:pt idx="7">
                  <c:v>31</c:v>
                </c:pt>
                <c:pt idx="8">
                  <c:v>31</c:v>
                </c:pt>
                <c:pt idx="9">
                  <c:v>27</c:v>
                </c:pt>
                <c:pt idx="10">
                  <c:v>19</c:v>
                </c:pt>
                <c:pt idx="11">
                  <c:v>15</c:v>
                </c:pt>
                <c:pt idx="12">
                  <c:v>10</c:v>
                </c:pt>
                <c:pt idx="13">
                  <c:v>13</c:v>
                </c:pt>
                <c:pt idx="14">
                  <c:v>5</c:v>
                </c:pt>
                <c:pt idx="15">
                  <c:v>4</c:v>
                </c:pt>
                <c:pt idx="1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'Sprint 1'!$AK$16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'Sprint 1'!$AL$14:$BB$14</c:f>
              <c:strCache>
                <c:ptCount val="17"/>
                <c:pt idx="0" c:formatCode="m/d/yyyy;@">
                  <c:v>26/8</c:v>
                </c:pt>
                <c:pt idx="1" c:formatCode="m/d/yyyy;@">
                  <c:v>27/08</c:v>
                </c:pt>
                <c:pt idx="2" c:formatCode="m/d/yyyy;@">
                  <c:v>28/08</c:v>
                </c:pt>
                <c:pt idx="3" c:formatCode="m/d/yyyy;@">
                  <c:v>29/08</c:v>
                </c:pt>
                <c:pt idx="4" c:formatCode="m/d/yyyy;@">
                  <c:v>30/08</c:v>
                </c:pt>
                <c:pt idx="5" c:formatCode="m/d/yyyy;@">
                  <c:v>31/08</c:v>
                </c:pt>
                <c:pt idx="6" c:formatCode="m/d/yyyy;@">
                  <c:v>1/9/2026</c:v>
                </c:pt>
                <c:pt idx="7" c:formatCode="m/d/yyyy;@">
                  <c:v>2/9/2026</c:v>
                </c:pt>
                <c:pt idx="8" c:formatCode="m/d/yyyy;@">
                  <c:v>3/9/2026</c:v>
                </c:pt>
                <c:pt idx="9" c:formatCode="m/d/yyyy;@">
                  <c:v>4/9/2026</c:v>
                </c:pt>
                <c:pt idx="10" c:formatCode="m/d/yyyy;@">
                  <c:v>5/9/2026</c:v>
                </c:pt>
                <c:pt idx="11" c:formatCode="m/d/yyyy;@">
                  <c:v>6/9/2026</c:v>
                </c:pt>
                <c:pt idx="12" c:formatCode="m/d/yyyy;@">
                  <c:v>7/9/2026</c:v>
                </c:pt>
                <c:pt idx="13" c:formatCode="m/d/yyyy;@">
                  <c:v>8/9/2026</c:v>
                </c:pt>
                <c:pt idx="14" c:formatCode="m/d/yyyy;@">
                  <c:v>9/9/2026</c:v>
                </c:pt>
                <c:pt idx="15" c:formatCode="m/d/yyyy;@">
                  <c:v>10/9/2026</c:v>
                </c:pt>
                <c:pt idx="16" c:formatCode="m/d/yyyy;@">
                  <c:v>11/9/2026</c:v>
                </c:pt>
              </c:strCache>
            </c:strRef>
          </c:cat>
          <c:val>
            <c:numRef>
              <c:f>'Sprint 1'!$AL$16:$BB$16</c:f>
              <c:numCache>
                <c:formatCode>General</c:formatCode>
                <c:ptCount val="17"/>
                <c:pt idx="0">
                  <c:v>55</c:v>
                </c:pt>
                <c:pt idx="1">
                  <c:v>53</c:v>
                </c:pt>
                <c:pt idx="2">
                  <c:v>51.5</c:v>
                </c:pt>
                <c:pt idx="3">
                  <c:v>45</c:v>
                </c:pt>
                <c:pt idx="4">
                  <c:v>40</c:v>
                </c:pt>
                <c:pt idx="5">
                  <c:v>37</c:v>
                </c:pt>
                <c:pt idx="6">
                  <c:v>36</c:v>
                </c:pt>
                <c:pt idx="7">
                  <c:v>31</c:v>
                </c:pt>
                <c:pt idx="8">
                  <c:v>31</c:v>
                </c:pt>
                <c:pt idx="9">
                  <c:v>28</c:v>
                </c:pt>
                <c:pt idx="10">
                  <c:v>19</c:v>
                </c:pt>
                <c:pt idx="11">
                  <c:v>15</c:v>
                </c:pt>
                <c:pt idx="12">
                  <c:v>10</c:v>
                </c:pt>
                <c:pt idx="13">
                  <c:v>13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8559738"/>
        <c:axId val="830520159"/>
      </c:lineChart>
      <c:catAx>
        <c:axId val="8985597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520159"/>
        <c:crosses val="autoZero"/>
        <c:auto val="1"/>
        <c:lblAlgn val="ctr"/>
        <c:lblOffset val="100"/>
        <c:noMultiLvlLbl val="0"/>
      </c:catAx>
      <c:valAx>
        <c:axId val="83052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5597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04fccf-de41-48b2-8f1e-a020632f0a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3336925</xdr:colOff>
      <xdr:row>68</xdr:row>
      <xdr:rowOff>169545</xdr:rowOff>
    </xdr:from>
    <xdr:to>
      <xdr:col>20</xdr:col>
      <xdr:colOff>49530</xdr:colOff>
      <xdr:row>99</xdr:row>
      <xdr:rowOff>48895</xdr:rowOff>
    </xdr:to>
    <xdr:graphicFrame>
      <xdr:nvGraphicFramePr>
        <xdr:cNvPr id="3" name="Chart 2"/>
        <xdr:cNvGraphicFramePr/>
      </xdr:nvGraphicFramePr>
      <xdr:xfrm>
        <a:off x="5824220" y="15428595"/>
        <a:ext cx="10735945" cy="6493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77"/>
  <sheetViews>
    <sheetView zoomScale="70" zoomScaleNormal="70" workbookViewId="0">
      <selection activeCell="W64" sqref="W64"/>
    </sheetView>
  </sheetViews>
  <sheetFormatPr defaultColWidth="9.09259259259259" defaultRowHeight="16.8"/>
  <cols>
    <col min="1" max="1" width="16" style="17" customWidth="1"/>
    <col min="2" max="2" width="20.2685185185185" style="17" customWidth="1"/>
    <col min="3" max="3" width="54.6296296296296" style="17" customWidth="1"/>
    <col min="4" max="5" width="11" style="17" customWidth="1"/>
    <col min="6" max="6" width="20.6296296296296" style="17" customWidth="1"/>
    <col min="7" max="8" width="6.09259259259259" style="17" customWidth="1"/>
    <col min="9" max="9" width="6" style="17" customWidth="1"/>
    <col min="10" max="10" width="6.09259259259259" style="17" customWidth="1"/>
    <col min="11" max="11" width="6" style="17" customWidth="1"/>
    <col min="12" max="12" width="6.18518518518519" style="17" customWidth="1"/>
    <col min="13" max="13" width="7.61111111111111" style="17" customWidth="1"/>
    <col min="14" max="14" width="9.52777777777778" style="17" customWidth="1"/>
    <col min="15" max="15" width="9.51851851851852" style="17" customWidth="1"/>
    <col min="16" max="16" width="8.56481481481481" style="17" customWidth="1"/>
    <col min="17" max="17" width="9.36111111111111" style="17" customWidth="1"/>
    <col min="18" max="18" width="8.56481481481481" style="17" customWidth="1"/>
    <col min="19" max="19" width="8.09259259259259" style="17" customWidth="1"/>
    <col min="20" max="20" width="9.51851851851852" style="17" customWidth="1"/>
    <col min="21" max="21" width="9.84259259259259" style="17" customWidth="1"/>
    <col min="22" max="16384" width="9.09259259259259" style="17"/>
  </cols>
  <sheetData>
    <row r="1" ht="17.55" spans="1:54">
      <c r="A1" s="15" t="s">
        <v>0</v>
      </c>
      <c r="B1" s="15"/>
      <c r="C1" s="16" t="s">
        <v>1</v>
      </c>
      <c r="E1" s="18"/>
      <c r="F1" s="19" t="s">
        <v>2</v>
      </c>
    </row>
    <row r="2" ht="17.55" spans="1:54">
      <c r="A2" s="15" t="s">
        <v>3</v>
      </c>
      <c r="B2" s="15"/>
      <c r="C2" s="20" t="s">
        <v>4</v>
      </c>
      <c r="E2" s="21"/>
      <c r="F2" s="22" t="s">
        <v>5</v>
      </c>
    </row>
    <row r="3" ht="17.55" spans="1:54">
      <c r="A3" s="15" t="s">
        <v>6</v>
      </c>
      <c r="B3" s="15"/>
      <c r="C3" s="23">
        <v>46244</v>
      </c>
      <c r="E3" s="24"/>
      <c r="F3" s="22" t="s">
        <v>7</v>
      </c>
    </row>
    <row r="4" ht="17.25" customHeight="1" spans="1:54">
      <c r="A4" s="15" t="s">
        <v>8</v>
      </c>
      <c r="B4" s="15"/>
      <c r="C4" s="23">
        <v>46182</v>
      </c>
      <c r="E4" s="25"/>
      <c r="F4" s="22" t="s">
        <v>9</v>
      </c>
    </row>
    <row r="5" ht="16.5" customHeight="1" spans="1:54">
      <c r="E5" s="26"/>
      <c r="F5" s="27" t="s">
        <v>10</v>
      </c>
    </row>
    <row r="6" ht="17.55" spans="1:54">
      <c r="B6" s="32" t="s">
        <v>11</v>
      </c>
      <c r="C6" s="32"/>
      <c r="D6" s="32"/>
      <c r="E6" s="65"/>
    </row>
    <row r="7" ht="17.55" spans="1:54">
      <c r="B7" s="30" t="s">
        <v>12</v>
      </c>
      <c r="C7" s="30" t="s">
        <v>13</v>
      </c>
      <c r="D7" s="30" t="s">
        <v>14</v>
      </c>
      <c r="E7" s="30" t="s">
        <v>15</v>
      </c>
    </row>
    <row r="8" ht="17.55" spans="1:54">
      <c r="B8" s="31">
        <v>1</v>
      </c>
      <c r="C8" s="20" t="s">
        <v>16</v>
      </c>
      <c r="D8" s="20">
        <f>SUMIF($D$15:$D$65,"*Hưng*",E$15:E$65)+SUMIF($D$15:$D$65,"All team",E$15:E$65)</f>
        <v>18</v>
      </c>
      <c r="E8" s="20">
        <f>SUMIF($D$15:$D$65,"*Hưng*",F$15:F$65)+SUMIF($D$15:$D$65,"All team",F$15:F$65)</f>
        <v>18</v>
      </c>
    </row>
    <row r="9" ht="17.55" spans="1:54">
      <c r="B9" s="31">
        <v>2</v>
      </c>
      <c r="C9" s="20" t="s">
        <v>17</v>
      </c>
      <c r="D9" s="20">
        <f>SUMIF($D$15:$D$65,"*Khôi*",E$15:E$65)-SUMIF($D$15:$D$65,"*Đăng Khôi*",E$15:E$65)+SUMIF($D$15:$D$65,"All team",E$15:E$65)</f>
        <v>18.5</v>
      </c>
      <c r="E9" s="20">
        <f>SUMIF($D$15:$D$65,"*Khôi*",F$15:F$65)-SUMIF($D$15:$D$65,"*Đăng Khôi*",F$15:F$65)+SUMIF($D$15:$D$65,"All team",F$15:F$65)</f>
        <v>19</v>
      </c>
    </row>
    <row r="10" ht="17.55" spans="1:54">
      <c r="B10" s="31">
        <v>3</v>
      </c>
      <c r="C10" s="20" t="s">
        <v>18</v>
      </c>
      <c r="D10" s="20">
        <f>SUMIF($D$15:$D$65,"*Đăng Khôi*",E$15:E$65)+SUMIF($D$15:$D$65,"All team",E$15:E$65)</f>
        <v>21</v>
      </c>
      <c r="E10" s="20">
        <f>SUMIF($D$15:$D$65,"*Đăng Khôi*",F$15:F$65)+SUMIF($D$15:$D$65,"All team",F$15:F$65)</f>
        <v>19</v>
      </c>
    </row>
    <row r="11" ht="17.55" spans="1:54">
      <c r="B11" s="31">
        <v>4</v>
      </c>
      <c r="C11" s="20" t="s">
        <v>19</v>
      </c>
      <c r="D11" s="20">
        <f>SUMIF($D$15:$D$65,"*Huy*",E$15:E$65)+SUMIF($D$15:$D$65,"All team",E$15:E$65)</f>
        <v>19</v>
      </c>
      <c r="E11" s="20">
        <f>SUMIF($D$15:$D$65,"*Huy*",F$15:F$65)+SUMIF($D$15:$D$65,"All team",F$15:F$65)</f>
        <v>19</v>
      </c>
    </row>
    <row r="12" ht="17.55" spans="1:54">
      <c r="B12" s="32" t="s">
        <v>20</v>
      </c>
      <c r="C12" s="32"/>
      <c r="D12" s="33">
        <f>SUM(D8:D11)</f>
        <v>76.5</v>
      </c>
      <c r="E12" s="33">
        <f>SUM(E8:E11)</f>
        <v>75</v>
      </c>
    </row>
    <row r="14" ht="62.25" customHeight="1" spans="1:54">
      <c r="A14" s="66" t="s">
        <v>21</v>
      </c>
      <c r="B14" s="66" t="s">
        <v>22</v>
      </c>
      <c r="C14" s="66" t="s">
        <v>23</v>
      </c>
      <c r="D14" s="66" t="s">
        <v>24</v>
      </c>
      <c r="E14" s="66" t="s">
        <v>14</v>
      </c>
      <c r="F14" s="66" t="s">
        <v>15</v>
      </c>
      <c r="G14" s="67" t="s">
        <v>25</v>
      </c>
      <c r="H14" s="67" t="s">
        <v>26</v>
      </c>
      <c r="I14" s="67" t="s">
        <v>27</v>
      </c>
      <c r="J14" s="67" t="s">
        <v>28</v>
      </c>
      <c r="K14" s="67" t="s">
        <v>29</v>
      </c>
      <c r="L14" s="67" t="s">
        <v>30</v>
      </c>
      <c r="M14" s="67">
        <v>46031</v>
      </c>
      <c r="N14" s="67">
        <v>46062</v>
      </c>
      <c r="O14" s="67">
        <v>46090</v>
      </c>
      <c r="P14" s="67">
        <v>46121</v>
      </c>
      <c r="Q14" s="67">
        <v>46151</v>
      </c>
      <c r="R14" s="67">
        <v>46182</v>
      </c>
      <c r="S14" s="67">
        <v>46212</v>
      </c>
      <c r="T14" s="67">
        <v>46243</v>
      </c>
      <c r="U14" s="67">
        <v>46274</v>
      </c>
      <c r="V14" s="67">
        <v>46304</v>
      </c>
      <c r="W14" s="67">
        <v>46335</v>
      </c>
      <c r="AK14" s="17" t="s">
        <v>31</v>
      </c>
      <c r="AL14" s="67" t="s">
        <v>25</v>
      </c>
      <c r="AM14" s="67" t="s">
        <v>26</v>
      </c>
      <c r="AN14" s="67" t="s">
        <v>27</v>
      </c>
      <c r="AO14" s="67" t="s">
        <v>28</v>
      </c>
      <c r="AP14" s="67" t="s">
        <v>29</v>
      </c>
      <c r="AQ14" s="67" t="s">
        <v>30</v>
      </c>
      <c r="AR14" s="67">
        <v>46031</v>
      </c>
      <c r="AS14" s="67">
        <v>46062</v>
      </c>
      <c r="AT14" s="67">
        <v>46090</v>
      </c>
      <c r="AU14" s="67">
        <v>46121</v>
      </c>
      <c r="AV14" s="67">
        <v>46151</v>
      </c>
      <c r="AW14" s="67">
        <v>46182</v>
      </c>
      <c r="AX14" s="67">
        <v>46212</v>
      </c>
      <c r="AY14" s="67">
        <v>46243</v>
      </c>
      <c r="AZ14" s="67">
        <v>46274</v>
      </c>
      <c r="BA14" s="67">
        <v>46304</v>
      </c>
      <c r="BB14" s="67">
        <v>46335</v>
      </c>
    </row>
    <row r="15" spans="1:54">
      <c r="A15" s="68" t="s">
        <v>32</v>
      </c>
      <c r="B15" s="69" t="s">
        <v>33</v>
      </c>
      <c r="C15" s="70" t="s">
        <v>34</v>
      </c>
      <c r="D15" s="69" t="s">
        <v>35</v>
      </c>
      <c r="E15" s="69">
        <v>1</v>
      </c>
      <c r="F15" s="69">
        <v>1</v>
      </c>
      <c r="G15" s="71">
        <v>0</v>
      </c>
      <c r="H15" s="72">
        <v>0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AK15" s="17" t="s">
        <v>14</v>
      </c>
      <c r="AL15" s="73">
        <f>G66</f>
        <v>55</v>
      </c>
      <c r="AM15" s="73">
        <f t="shared" ref="AM15:BB15" si="0">H66</f>
        <v>53.5</v>
      </c>
      <c r="AN15" s="73">
        <f t="shared" si="0"/>
        <v>51</v>
      </c>
      <c r="AO15" s="73">
        <f t="shared" si="0"/>
        <v>45</v>
      </c>
      <c r="AP15" s="73">
        <f t="shared" si="0"/>
        <v>40</v>
      </c>
      <c r="AQ15" s="73">
        <f t="shared" si="0"/>
        <v>37</v>
      </c>
      <c r="AR15" s="73">
        <f t="shared" si="0"/>
        <v>36</v>
      </c>
      <c r="AS15" s="73">
        <f t="shared" si="0"/>
        <v>31</v>
      </c>
      <c r="AT15" s="73">
        <f t="shared" si="0"/>
        <v>31</v>
      </c>
      <c r="AU15" s="73">
        <f t="shared" si="0"/>
        <v>27</v>
      </c>
      <c r="AV15" s="73">
        <f t="shared" si="0"/>
        <v>19</v>
      </c>
      <c r="AW15" s="73">
        <f t="shared" si="0"/>
        <v>15</v>
      </c>
      <c r="AX15" s="73">
        <f t="shared" si="0"/>
        <v>10</v>
      </c>
      <c r="AY15" s="73">
        <f t="shared" si="0"/>
        <v>13</v>
      </c>
      <c r="AZ15" s="73">
        <f t="shared" si="0"/>
        <v>5</v>
      </c>
      <c r="BA15" s="73">
        <f t="shared" si="0"/>
        <v>4</v>
      </c>
      <c r="BB15" s="73">
        <f t="shared" si="0"/>
        <v>0</v>
      </c>
    </row>
    <row r="16" ht="22.8" spans="1:54">
      <c r="A16" s="68"/>
      <c r="B16" s="68"/>
      <c r="C16" s="70" t="s">
        <v>36</v>
      </c>
      <c r="D16" s="69" t="s">
        <v>37</v>
      </c>
      <c r="E16" s="69">
        <v>1</v>
      </c>
      <c r="F16" s="69">
        <v>1</v>
      </c>
      <c r="G16" s="72">
        <v>1</v>
      </c>
      <c r="H16" s="71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AK16" s="17" t="s">
        <v>15</v>
      </c>
      <c r="AL16" s="73">
        <f>G67</f>
        <v>55</v>
      </c>
      <c r="AM16" s="73">
        <f t="shared" ref="AM16:BB16" si="1">H67</f>
        <v>53</v>
      </c>
      <c r="AN16" s="73">
        <f t="shared" si="1"/>
        <v>51.5</v>
      </c>
      <c r="AO16" s="73">
        <f t="shared" si="1"/>
        <v>45</v>
      </c>
      <c r="AP16" s="73">
        <f t="shared" si="1"/>
        <v>40</v>
      </c>
      <c r="AQ16" s="73">
        <f t="shared" si="1"/>
        <v>37</v>
      </c>
      <c r="AR16" s="73">
        <f t="shared" si="1"/>
        <v>36</v>
      </c>
      <c r="AS16" s="73">
        <f t="shared" si="1"/>
        <v>31</v>
      </c>
      <c r="AT16" s="73">
        <f t="shared" si="1"/>
        <v>31</v>
      </c>
      <c r="AU16" s="73">
        <f t="shared" si="1"/>
        <v>28</v>
      </c>
      <c r="AV16" s="73">
        <f t="shared" si="1"/>
        <v>19</v>
      </c>
      <c r="AW16" s="73">
        <f t="shared" si="1"/>
        <v>15</v>
      </c>
      <c r="AX16" s="73">
        <f t="shared" si="1"/>
        <v>10</v>
      </c>
      <c r="AY16" s="73">
        <f t="shared" si="1"/>
        <v>13</v>
      </c>
      <c r="AZ16" s="73">
        <f t="shared" si="1"/>
        <v>6</v>
      </c>
      <c r="BA16" s="73">
        <f t="shared" si="1"/>
        <v>4</v>
      </c>
      <c r="BB16" s="73">
        <f t="shared" si="1"/>
        <v>0</v>
      </c>
    </row>
    <row r="17" spans="1:23">
      <c r="A17" s="68"/>
      <c r="B17" s="69"/>
      <c r="C17" s="70" t="s">
        <v>38</v>
      </c>
      <c r="D17" s="69" t="s">
        <v>39</v>
      </c>
      <c r="E17" s="69">
        <v>1</v>
      </c>
      <c r="F17" s="69">
        <v>1</v>
      </c>
      <c r="G17" s="72">
        <v>1</v>
      </c>
      <c r="H17" s="71">
        <v>0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</row>
    <row r="18" spans="1:23">
      <c r="A18" s="68"/>
      <c r="B18" s="69" t="s">
        <v>40</v>
      </c>
      <c r="C18" s="70" t="s">
        <v>41</v>
      </c>
      <c r="D18" s="69" t="s">
        <v>42</v>
      </c>
      <c r="E18" s="69">
        <v>1</v>
      </c>
      <c r="F18" s="69">
        <v>1</v>
      </c>
      <c r="G18" s="72">
        <v>1</v>
      </c>
      <c r="H18" s="72">
        <v>1</v>
      </c>
      <c r="I18" s="71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</row>
    <row r="19" spans="1:23">
      <c r="A19" s="68"/>
      <c r="B19" s="68"/>
      <c r="C19" s="70" t="s">
        <v>43</v>
      </c>
      <c r="D19" s="69" t="s">
        <v>44</v>
      </c>
      <c r="E19" s="69">
        <v>0.5</v>
      </c>
      <c r="F19" s="69">
        <v>1</v>
      </c>
      <c r="G19" s="72">
        <v>1</v>
      </c>
      <c r="H19" s="72">
        <v>1</v>
      </c>
      <c r="I19" s="74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</row>
    <row r="20" spans="1:23">
      <c r="A20" s="68"/>
      <c r="B20" s="68"/>
      <c r="C20" s="75"/>
      <c r="D20" s="75"/>
      <c r="E20" s="75"/>
      <c r="F20" s="75"/>
      <c r="G20" s="72"/>
      <c r="H20" s="72"/>
      <c r="I20" s="76">
        <v>0.5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</row>
    <row r="21" spans="1:23">
      <c r="A21" s="68"/>
      <c r="B21" s="68"/>
      <c r="C21" s="70" t="s">
        <v>45</v>
      </c>
      <c r="D21" s="69" t="s">
        <v>42</v>
      </c>
      <c r="E21" s="69">
        <v>1</v>
      </c>
      <c r="F21" s="69">
        <v>1</v>
      </c>
      <c r="G21" s="72">
        <v>1</v>
      </c>
      <c r="H21" s="72">
        <v>1</v>
      </c>
      <c r="I21" s="72">
        <v>1</v>
      </c>
      <c r="J21" s="71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</row>
    <row r="22" spans="1:23">
      <c r="A22" s="68"/>
      <c r="B22" s="68"/>
      <c r="C22" s="70" t="s">
        <v>46</v>
      </c>
      <c r="D22" s="69" t="s">
        <v>44</v>
      </c>
      <c r="E22" s="69">
        <v>1</v>
      </c>
      <c r="F22" s="69">
        <v>1</v>
      </c>
      <c r="G22" s="69">
        <v>1</v>
      </c>
      <c r="H22" s="69">
        <v>1</v>
      </c>
      <c r="I22" s="69">
        <v>1</v>
      </c>
      <c r="J22" s="71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</row>
    <row r="23" spans="1:23">
      <c r="A23" s="68"/>
      <c r="B23" s="68"/>
      <c r="C23" s="70" t="s">
        <v>47</v>
      </c>
      <c r="D23" s="69" t="s">
        <v>42</v>
      </c>
      <c r="E23" s="69">
        <v>1</v>
      </c>
      <c r="F23" s="69">
        <v>1</v>
      </c>
      <c r="G23" s="72">
        <v>1</v>
      </c>
      <c r="H23" s="69">
        <v>1</v>
      </c>
      <c r="I23" s="69">
        <v>1</v>
      </c>
      <c r="J23" s="71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</row>
    <row r="24" spans="1:23">
      <c r="A24" s="68"/>
      <c r="B24" s="68"/>
      <c r="C24" s="70" t="s">
        <v>48</v>
      </c>
      <c r="D24" s="69" t="s">
        <v>44</v>
      </c>
      <c r="E24" s="69">
        <v>1</v>
      </c>
      <c r="F24" s="69">
        <v>1</v>
      </c>
      <c r="G24" s="72">
        <v>1</v>
      </c>
      <c r="H24" s="69">
        <v>1</v>
      </c>
      <c r="I24" s="69">
        <v>1</v>
      </c>
      <c r="J24" s="71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</row>
    <row r="25" spans="1:23">
      <c r="A25" s="68"/>
      <c r="B25" s="68"/>
      <c r="C25" s="70" t="s">
        <v>49</v>
      </c>
      <c r="D25" s="69" t="s">
        <v>42</v>
      </c>
      <c r="E25" s="69">
        <v>1</v>
      </c>
      <c r="F25" s="69">
        <v>1</v>
      </c>
      <c r="G25" s="72">
        <v>1</v>
      </c>
      <c r="H25" s="69">
        <v>1</v>
      </c>
      <c r="I25" s="69">
        <v>1</v>
      </c>
      <c r="J25" s="71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</row>
    <row r="26" spans="1:23">
      <c r="A26" s="68"/>
      <c r="B26" s="68"/>
      <c r="C26" s="70" t="s">
        <v>50</v>
      </c>
      <c r="D26" s="69" t="s">
        <v>44</v>
      </c>
      <c r="E26" s="69">
        <v>1</v>
      </c>
      <c r="F26" s="69">
        <v>1</v>
      </c>
      <c r="G26" s="72">
        <v>1</v>
      </c>
      <c r="H26" s="69">
        <v>1</v>
      </c>
      <c r="I26" s="69">
        <v>1</v>
      </c>
      <c r="J26" s="71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</row>
    <row r="27" spans="1:23">
      <c r="A27" s="68"/>
      <c r="B27" s="69"/>
      <c r="C27" s="70" t="s">
        <v>51</v>
      </c>
      <c r="D27" s="69" t="s">
        <v>35</v>
      </c>
      <c r="E27" s="69">
        <v>1</v>
      </c>
      <c r="F27" s="69">
        <v>1</v>
      </c>
      <c r="G27" s="72">
        <v>1</v>
      </c>
      <c r="H27" s="69">
        <v>1</v>
      </c>
      <c r="I27" s="69">
        <v>1</v>
      </c>
      <c r="J27" s="69">
        <v>1</v>
      </c>
      <c r="K27" s="71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</row>
    <row r="28" spans="1:23">
      <c r="A28" s="68"/>
      <c r="B28" s="69" t="s">
        <v>52</v>
      </c>
      <c r="C28" s="70" t="s">
        <v>53</v>
      </c>
      <c r="D28" s="69" t="s">
        <v>42</v>
      </c>
      <c r="E28" s="69">
        <v>1</v>
      </c>
      <c r="F28" s="69">
        <v>1</v>
      </c>
      <c r="G28" s="72">
        <v>1</v>
      </c>
      <c r="H28" s="69">
        <v>1</v>
      </c>
      <c r="I28" s="69">
        <v>1</v>
      </c>
      <c r="J28" s="69">
        <v>1</v>
      </c>
      <c r="K28" s="71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</row>
    <row r="29" spans="1:23">
      <c r="A29" s="68"/>
      <c r="B29" s="68"/>
      <c r="C29" s="70" t="s">
        <v>54</v>
      </c>
      <c r="D29" s="69" t="s">
        <v>44</v>
      </c>
      <c r="E29" s="69">
        <v>1</v>
      </c>
      <c r="F29" s="69">
        <v>1</v>
      </c>
      <c r="G29" s="72">
        <v>1</v>
      </c>
      <c r="H29" s="69">
        <v>1</v>
      </c>
      <c r="I29" s="69">
        <v>1</v>
      </c>
      <c r="J29" s="69">
        <v>1</v>
      </c>
      <c r="K29" s="71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</row>
    <row r="30" spans="1:23">
      <c r="A30" s="68"/>
      <c r="B30" s="68"/>
      <c r="C30" s="70" t="s">
        <v>55</v>
      </c>
      <c r="D30" s="69" t="s">
        <v>42</v>
      </c>
      <c r="E30" s="69">
        <v>1</v>
      </c>
      <c r="F30" s="69">
        <v>1</v>
      </c>
      <c r="G30" s="72">
        <v>1</v>
      </c>
      <c r="H30" s="69">
        <v>1</v>
      </c>
      <c r="I30" s="69">
        <v>1</v>
      </c>
      <c r="J30" s="69">
        <v>1</v>
      </c>
      <c r="K30" s="71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</row>
    <row r="31" spans="1:23">
      <c r="A31" s="68"/>
      <c r="B31" s="68"/>
      <c r="C31" s="70" t="s">
        <v>56</v>
      </c>
      <c r="D31" s="69" t="s">
        <v>44</v>
      </c>
      <c r="E31" s="69">
        <v>1</v>
      </c>
      <c r="F31" s="69">
        <v>1</v>
      </c>
      <c r="G31" s="72">
        <v>1</v>
      </c>
      <c r="H31" s="69">
        <v>1</v>
      </c>
      <c r="I31" s="69">
        <v>1</v>
      </c>
      <c r="J31" s="69">
        <v>1</v>
      </c>
      <c r="K31" s="71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</row>
    <row r="32" spans="1:23">
      <c r="A32" s="68"/>
      <c r="B32" s="68"/>
      <c r="C32" s="70" t="s">
        <v>57</v>
      </c>
      <c r="D32" s="69" t="s">
        <v>42</v>
      </c>
      <c r="E32" s="69">
        <v>1</v>
      </c>
      <c r="F32" s="69">
        <v>1</v>
      </c>
      <c r="G32" s="72">
        <v>1</v>
      </c>
      <c r="H32" s="69">
        <v>1</v>
      </c>
      <c r="I32" s="69">
        <v>1</v>
      </c>
      <c r="J32" s="72">
        <v>1</v>
      </c>
      <c r="K32" s="72">
        <v>1</v>
      </c>
      <c r="L32" s="71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</row>
    <row r="33" spans="1:23">
      <c r="A33" s="68"/>
      <c r="B33" s="68"/>
      <c r="C33" s="70" t="s">
        <v>58</v>
      </c>
      <c r="D33" s="69" t="s">
        <v>44</v>
      </c>
      <c r="E33" s="69">
        <v>1</v>
      </c>
      <c r="F33" s="69">
        <v>1</v>
      </c>
      <c r="G33" s="72">
        <v>1</v>
      </c>
      <c r="H33" s="69">
        <v>1</v>
      </c>
      <c r="I33" s="69">
        <v>1</v>
      </c>
      <c r="J33" s="72">
        <v>1</v>
      </c>
      <c r="K33" s="72">
        <v>1</v>
      </c>
      <c r="L33" s="71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</row>
    <row r="34" spans="1:23">
      <c r="A34" s="68"/>
      <c r="B34" s="68"/>
      <c r="C34" s="70" t="s">
        <v>59</v>
      </c>
      <c r="D34" s="69" t="s">
        <v>42</v>
      </c>
      <c r="E34" s="69">
        <v>1</v>
      </c>
      <c r="F34" s="69">
        <v>1</v>
      </c>
      <c r="G34" s="72">
        <v>1</v>
      </c>
      <c r="H34" s="69">
        <v>1</v>
      </c>
      <c r="I34" s="69">
        <v>1</v>
      </c>
      <c r="J34" s="72">
        <v>1</v>
      </c>
      <c r="K34" s="72">
        <v>1</v>
      </c>
      <c r="L34" s="72">
        <v>1</v>
      </c>
      <c r="M34" s="71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</row>
    <row r="35" spans="1:23">
      <c r="A35" s="68"/>
      <c r="B35" s="68"/>
      <c r="C35" s="70" t="s">
        <v>60</v>
      </c>
      <c r="D35" s="69" t="s">
        <v>44</v>
      </c>
      <c r="E35" s="69">
        <v>1</v>
      </c>
      <c r="F35" s="69">
        <v>1</v>
      </c>
      <c r="G35" s="72">
        <v>1</v>
      </c>
      <c r="H35" s="69">
        <v>1</v>
      </c>
      <c r="I35" s="69">
        <v>1</v>
      </c>
      <c r="J35" s="72">
        <v>1</v>
      </c>
      <c r="K35" s="72">
        <v>1</v>
      </c>
      <c r="L35" s="72">
        <v>0</v>
      </c>
      <c r="M35" s="71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</row>
    <row r="36" spans="1:23">
      <c r="A36" s="68"/>
      <c r="B36" s="69"/>
      <c r="C36" s="70" t="s">
        <v>61</v>
      </c>
      <c r="D36" s="69" t="s">
        <v>35</v>
      </c>
      <c r="E36" s="69">
        <v>1</v>
      </c>
      <c r="F36" s="69">
        <v>1</v>
      </c>
      <c r="G36" s="72">
        <v>1</v>
      </c>
      <c r="H36" s="69">
        <v>1</v>
      </c>
      <c r="I36" s="69">
        <v>1</v>
      </c>
      <c r="J36" s="72">
        <v>1</v>
      </c>
      <c r="K36" s="72">
        <v>1</v>
      </c>
      <c r="L36" s="72">
        <v>1</v>
      </c>
      <c r="M36" s="72">
        <v>1</v>
      </c>
      <c r="N36" s="71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</row>
    <row r="37" spans="1:23">
      <c r="A37" s="68"/>
      <c r="B37" s="69" t="s">
        <v>62</v>
      </c>
      <c r="C37" s="70" t="s">
        <v>63</v>
      </c>
      <c r="D37" s="69" t="s">
        <v>64</v>
      </c>
      <c r="E37" s="69">
        <v>2</v>
      </c>
      <c r="F37" s="69">
        <v>2</v>
      </c>
      <c r="G37" s="72">
        <v>2</v>
      </c>
      <c r="H37" s="72">
        <v>2</v>
      </c>
      <c r="I37" s="72">
        <v>2</v>
      </c>
      <c r="J37" s="72">
        <v>2</v>
      </c>
      <c r="K37" s="72">
        <v>2</v>
      </c>
      <c r="L37" s="72">
        <v>2</v>
      </c>
      <c r="M37" s="72">
        <v>2</v>
      </c>
      <c r="N37" s="71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</row>
    <row r="38" spans="1:23">
      <c r="A38" s="68"/>
      <c r="B38" s="68"/>
      <c r="C38" s="70" t="s">
        <v>65</v>
      </c>
      <c r="D38" s="69" t="s">
        <v>66</v>
      </c>
      <c r="E38" s="69">
        <v>2</v>
      </c>
      <c r="F38" s="69">
        <v>2</v>
      </c>
      <c r="G38" s="72">
        <v>2</v>
      </c>
      <c r="H38" s="72">
        <v>2</v>
      </c>
      <c r="I38" s="72">
        <v>2</v>
      </c>
      <c r="J38" s="72">
        <v>2</v>
      </c>
      <c r="K38" s="72">
        <v>2</v>
      </c>
      <c r="L38" s="72">
        <v>2</v>
      </c>
      <c r="M38" s="72">
        <v>2</v>
      </c>
      <c r="N38" s="71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</row>
    <row r="39" spans="1:23">
      <c r="A39" s="68"/>
      <c r="B39" s="68"/>
      <c r="C39" s="70" t="s">
        <v>67</v>
      </c>
      <c r="D39" s="69" t="s">
        <v>64</v>
      </c>
      <c r="E39" s="69">
        <v>3</v>
      </c>
      <c r="F39" s="69">
        <v>2</v>
      </c>
      <c r="G39" s="72">
        <v>2</v>
      </c>
      <c r="H39" s="72">
        <v>2</v>
      </c>
      <c r="I39" s="72">
        <v>2</v>
      </c>
      <c r="J39" s="72">
        <v>2</v>
      </c>
      <c r="K39" s="72">
        <v>2</v>
      </c>
      <c r="L39" s="72">
        <v>2</v>
      </c>
      <c r="M39" s="72">
        <v>2</v>
      </c>
      <c r="N39" s="72">
        <v>2</v>
      </c>
      <c r="O39" s="72">
        <v>2</v>
      </c>
      <c r="P39" s="77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</row>
    <row r="40" spans="1:23">
      <c r="A40" s="68"/>
      <c r="B40" s="68"/>
      <c r="C40" s="75"/>
      <c r="D40" s="75"/>
      <c r="E40" s="75"/>
      <c r="F40" s="75"/>
      <c r="G40" s="72"/>
      <c r="H40" s="72"/>
      <c r="I40" s="72"/>
      <c r="J40" s="72"/>
      <c r="K40" s="72"/>
      <c r="L40" s="72"/>
      <c r="M40" s="72"/>
      <c r="N40" s="72"/>
      <c r="O40" s="72"/>
      <c r="P40" s="78">
        <v>1</v>
      </c>
      <c r="Q40" s="79"/>
      <c r="R40" s="72"/>
      <c r="S40" s="72"/>
      <c r="T40" s="72"/>
      <c r="U40" s="72"/>
      <c r="V40" s="72"/>
      <c r="W40" s="72"/>
    </row>
    <row r="41" spans="1:23">
      <c r="A41" s="68"/>
      <c r="B41" s="68"/>
      <c r="C41" s="70" t="s">
        <v>68</v>
      </c>
      <c r="D41" s="69" t="s">
        <v>66</v>
      </c>
      <c r="E41" s="69">
        <v>2</v>
      </c>
      <c r="F41" s="69">
        <v>2</v>
      </c>
      <c r="G41" s="72">
        <v>2</v>
      </c>
      <c r="H41" s="72">
        <v>2</v>
      </c>
      <c r="I41" s="72">
        <v>2</v>
      </c>
      <c r="J41" s="72">
        <v>2</v>
      </c>
      <c r="K41" s="72">
        <v>2</v>
      </c>
      <c r="L41" s="72">
        <v>2</v>
      </c>
      <c r="M41" s="72">
        <v>2</v>
      </c>
      <c r="N41" s="72">
        <v>2</v>
      </c>
      <c r="O41" s="72">
        <v>2</v>
      </c>
      <c r="P41" s="71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</row>
    <row r="42" spans="1:23">
      <c r="A42" s="68"/>
      <c r="B42" s="68"/>
      <c r="C42" s="70" t="s">
        <v>69</v>
      </c>
      <c r="D42" s="69" t="s">
        <v>64</v>
      </c>
      <c r="E42" s="69">
        <v>2</v>
      </c>
      <c r="F42" s="69">
        <v>2</v>
      </c>
      <c r="G42" s="72">
        <v>2</v>
      </c>
      <c r="H42" s="72">
        <v>2</v>
      </c>
      <c r="I42" s="72">
        <v>2</v>
      </c>
      <c r="J42" s="72">
        <v>2</v>
      </c>
      <c r="K42" s="72">
        <v>2</v>
      </c>
      <c r="L42" s="72">
        <v>2</v>
      </c>
      <c r="M42" s="72">
        <v>2</v>
      </c>
      <c r="N42" s="72">
        <v>2</v>
      </c>
      <c r="O42" s="72">
        <v>2</v>
      </c>
      <c r="P42" s="72">
        <v>2</v>
      </c>
      <c r="Q42" s="77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</row>
    <row r="43" spans="1:23">
      <c r="A43" s="68"/>
      <c r="B43" s="68"/>
      <c r="C43" s="70" t="s">
        <v>70</v>
      </c>
      <c r="D43" s="69" t="s">
        <v>66</v>
      </c>
      <c r="E43" s="69">
        <v>2</v>
      </c>
      <c r="F43" s="69">
        <v>2</v>
      </c>
      <c r="G43" s="72">
        <v>2</v>
      </c>
      <c r="H43" s="72">
        <v>2</v>
      </c>
      <c r="I43" s="72">
        <v>2</v>
      </c>
      <c r="J43" s="72">
        <v>2</v>
      </c>
      <c r="K43" s="72">
        <v>2</v>
      </c>
      <c r="L43" s="72">
        <v>2</v>
      </c>
      <c r="M43" s="72">
        <v>2</v>
      </c>
      <c r="N43" s="72">
        <v>2</v>
      </c>
      <c r="O43" s="72">
        <v>2</v>
      </c>
      <c r="P43" s="72">
        <v>2</v>
      </c>
      <c r="Q43" s="77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</row>
    <row r="44" spans="1:23">
      <c r="A44" s="68"/>
      <c r="B44" s="68"/>
      <c r="C44" s="70" t="s">
        <v>71</v>
      </c>
      <c r="D44" s="69" t="s">
        <v>64</v>
      </c>
      <c r="E44" s="69">
        <v>2</v>
      </c>
      <c r="F44" s="69">
        <v>2</v>
      </c>
      <c r="G44" s="72">
        <v>2</v>
      </c>
      <c r="H44" s="72">
        <v>2</v>
      </c>
      <c r="I44" s="72">
        <v>2</v>
      </c>
      <c r="J44" s="72">
        <v>2</v>
      </c>
      <c r="K44" s="72">
        <v>2</v>
      </c>
      <c r="L44" s="72">
        <v>2</v>
      </c>
      <c r="M44" s="72">
        <v>2</v>
      </c>
      <c r="N44" s="72">
        <v>2</v>
      </c>
      <c r="O44" s="72">
        <v>2</v>
      </c>
      <c r="P44" s="72">
        <v>2</v>
      </c>
      <c r="Q44" s="77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</row>
    <row r="45" spans="1:23">
      <c r="A45" s="68"/>
      <c r="B45" s="69"/>
      <c r="C45" s="70" t="s">
        <v>72</v>
      </c>
      <c r="D45" s="69" t="s">
        <v>66</v>
      </c>
      <c r="E45" s="69">
        <v>2</v>
      </c>
      <c r="F45" s="69">
        <v>2</v>
      </c>
      <c r="G45" s="72">
        <v>2</v>
      </c>
      <c r="H45" s="72">
        <v>2</v>
      </c>
      <c r="I45" s="72">
        <v>2</v>
      </c>
      <c r="J45" s="72">
        <v>2</v>
      </c>
      <c r="K45" s="72">
        <v>2</v>
      </c>
      <c r="L45" s="72">
        <v>2</v>
      </c>
      <c r="M45" s="72">
        <v>2</v>
      </c>
      <c r="N45" s="72">
        <v>2</v>
      </c>
      <c r="O45" s="72">
        <v>2</v>
      </c>
      <c r="P45" s="72">
        <v>2</v>
      </c>
      <c r="Q45" s="77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</row>
    <row r="46" spans="1:23">
      <c r="A46" s="68"/>
      <c r="B46" s="69" t="s">
        <v>73</v>
      </c>
      <c r="C46" s="70" t="s">
        <v>74</v>
      </c>
      <c r="D46" s="69" t="s">
        <v>42</v>
      </c>
      <c r="E46" s="69">
        <v>1</v>
      </c>
      <c r="F46" s="69">
        <v>1</v>
      </c>
      <c r="G46" s="72">
        <v>1</v>
      </c>
      <c r="H46" s="72">
        <v>1</v>
      </c>
      <c r="I46" s="72">
        <v>1</v>
      </c>
      <c r="J46" s="72">
        <v>1</v>
      </c>
      <c r="K46" s="72">
        <v>1</v>
      </c>
      <c r="L46" s="72">
        <v>1</v>
      </c>
      <c r="M46" s="72">
        <v>1</v>
      </c>
      <c r="N46" s="72">
        <v>1</v>
      </c>
      <c r="O46" s="72">
        <v>1</v>
      </c>
      <c r="P46" s="72">
        <v>1</v>
      </c>
      <c r="Q46" s="72">
        <v>1</v>
      </c>
      <c r="R46" s="77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</row>
    <row r="47" spans="1:23">
      <c r="A47" s="68"/>
      <c r="B47" s="68"/>
      <c r="C47" s="70" t="s">
        <v>75</v>
      </c>
      <c r="D47" s="69" t="s">
        <v>64</v>
      </c>
      <c r="E47" s="69">
        <v>1</v>
      </c>
      <c r="F47" s="69">
        <v>1</v>
      </c>
      <c r="G47" s="72">
        <v>1</v>
      </c>
      <c r="H47" s="72">
        <v>1</v>
      </c>
      <c r="I47" s="72">
        <v>1</v>
      </c>
      <c r="J47" s="72">
        <v>1</v>
      </c>
      <c r="K47" s="72">
        <v>1</v>
      </c>
      <c r="L47" s="72">
        <v>1</v>
      </c>
      <c r="M47" s="72">
        <v>1</v>
      </c>
      <c r="N47" s="72">
        <v>1</v>
      </c>
      <c r="O47" s="72">
        <v>1</v>
      </c>
      <c r="P47" s="72">
        <v>1</v>
      </c>
      <c r="Q47" s="72">
        <v>1</v>
      </c>
      <c r="R47" s="77">
        <v>0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</row>
    <row r="48" spans="1:23">
      <c r="A48" s="68"/>
      <c r="B48" s="68"/>
      <c r="C48" s="70" t="s">
        <v>76</v>
      </c>
      <c r="D48" s="69" t="s">
        <v>44</v>
      </c>
      <c r="E48" s="69">
        <v>1</v>
      </c>
      <c r="F48" s="69">
        <v>1</v>
      </c>
      <c r="G48" s="72">
        <v>1</v>
      </c>
      <c r="H48" s="72">
        <v>1</v>
      </c>
      <c r="I48" s="72">
        <v>1</v>
      </c>
      <c r="J48" s="72">
        <v>1</v>
      </c>
      <c r="K48" s="72">
        <v>1</v>
      </c>
      <c r="L48" s="72">
        <v>1</v>
      </c>
      <c r="M48" s="72">
        <v>1</v>
      </c>
      <c r="N48" s="72">
        <v>1</v>
      </c>
      <c r="O48" s="72">
        <v>1</v>
      </c>
      <c r="P48" s="72">
        <v>1</v>
      </c>
      <c r="Q48" s="72">
        <v>1</v>
      </c>
      <c r="R48" s="77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</row>
    <row r="49" spans="1:23">
      <c r="A49" s="68"/>
      <c r="B49" s="68"/>
      <c r="C49" s="70" t="s">
        <v>77</v>
      </c>
      <c r="D49" s="69" t="s">
        <v>66</v>
      </c>
      <c r="E49" s="69">
        <v>1</v>
      </c>
      <c r="F49" s="69">
        <v>1</v>
      </c>
      <c r="G49" s="72">
        <v>1</v>
      </c>
      <c r="H49" s="72">
        <v>1</v>
      </c>
      <c r="I49" s="72">
        <v>1</v>
      </c>
      <c r="J49" s="72">
        <v>1</v>
      </c>
      <c r="K49" s="72">
        <v>1</v>
      </c>
      <c r="L49" s="72">
        <v>1</v>
      </c>
      <c r="M49" s="72">
        <v>1</v>
      </c>
      <c r="N49" s="72">
        <v>1</v>
      </c>
      <c r="O49" s="72">
        <v>1</v>
      </c>
      <c r="P49" s="72">
        <v>1</v>
      </c>
      <c r="Q49" s="72">
        <v>1</v>
      </c>
      <c r="R49" s="77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</row>
    <row r="50" spans="1:23">
      <c r="A50" s="68"/>
      <c r="B50" s="68"/>
      <c r="C50" s="70" t="s">
        <v>78</v>
      </c>
      <c r="D50" s="69" t="s">
        <v>42</v>
      </c>
      <c r="E50" s="69">
        <v>1</v>
      </c>
      <c r="F50" s="69">
        <v>1</v>
      </c>
      <c r="G50" s="72">
        <v>1</v>
      </c>
      <c r="H50" s="72">
        <v>1</v>
      </c>
      <c r="I50" s="72">
        <v>1</v>
      </c>
      <c r="J50" s="72">
        <v>1</v>
      </c>
      <c r="K50" s="72">
        <v>1</v>
      </c>
      <c r="L50" s="72">
        <v>1</v>
      </c>
      <c r="M50" s="72">
        <v>1</v>
      </c>
      <c r="N50" s="72">
        <v>1</v>
      </c>
      <c r="O50" s="72">
        <v>1</v>
      </c>
      <c r="P50" s="72">
        <v>1</v>
      </c>
      <c r="Q50" s="72">
        <v>1</v>
      </c>
      <c r="R50" s="72">
        <v>1</v>
      </c>
      <c r="S50" s="71">
        <v>0</v>
      </c>
      <c r="T50" s="72">
        <v>1</v>
      </c>
      <c r="U50" s="72">
        <v>0</v>
      </c>
      <c r="V50" s="72">
        <v>0</v>
      </c>
      <c r="W50" s="72">
        <v>0</v>
      </c>
    </row>
    <row r="51" spans="1:23">
      <c r="A51" s="68"/>
      <c r="B51" s="68"/>
      <c r="C51" s="70" t="s">
        <v>79</v>
      </c>
      <c r="D51" s="69" t="s">
        <v>64</v>
      </c>
      <c r="E51" s="69">
        <v>1</v>
      </c>
      <c r="F51" s="69">
        <v>1</v>
      </c>
      <c r="G51" s="72">
        <v>1</v>
      </c>
      <c r="H51" s="72">
        <v>1</v>
      </c>
      <c r="I51" s="72">
        <v>1</v>
      </c>
      <c r="J51" s="72">
        <v>1</v>
      </c>
      <c r="K51" s="72">
        <v>1</v>
      </c>
      <c r="L51" s="72">
        <v>1</v>
      </c>
      <c r="M51" s="72">
        <v>1</v>
      </c>
      <c r="N51" s="72">
        <v>1</v>
      </c>
      <c r="O51" s="72">
        <v>1</v>
      </c>
      <c r="P51" s="72">
        <v>1</v>
      </c>
      <c r="Q51" s="72">
        <v>1</v>
      </c>
      <c r="R51" s="72">
        <v>1</v>
      </c>
      <c r="S51" s="71">
        <v>0</v>
      </c>
      <c r="T51" s="72">
        <v>1</v>
      </c>
      <c r="U51" s="72">
        <v>0</v>
      </c>
      <c r="V51" s="72">
        <v>0</v>
      </c>
      <c r="W51" s="72">
        <v>0</v>
      </c>
    </row>
    <row r="52" spans="1:23">
      <c r="A52" s="68"/>
      <c r="B52" s="68"/>
      <c r="C52" s="70" t="s">
        <v>80</v>
      </c>
      <c r="D52" s="69" t="s">
        <v>44</v>
      </c>
      <c r="E52" s="69">
        <v>1</v>
      </c>
      <c r="F52" s="69">
        <v>1</v>
      </c>
      <c r="G52" s="72">
        <v>1</v>
      </c>
      <c r="H52" s="72">
        <v>1</v>
      </c>
      <c r="I52" s="72">
        <v>1</v>
      </c>
      <c r="J52" s="72">
        <v>1</v>
      </c>
      <c r="K52" s="72">
        <v>1</v>
      </c>
      <c r="L52" s="72">
        <v>1</v>
      </c>
      <c r="M52" s="72">
        <v>1</v>
      </c>
      <c r="N52" s="72">
        <v>1</v>
      </c>
      <c r="O52" s="72">
        <v>1</v>
      </c>
      <c r="P52" s="72">
        <v>1</v>
      </c>
      <c r="Q52" s="72">
        <v>1</v>
      </c>
      <c r="R52" s="72">
        <v>1</v>
      </c>
      <c r="S52" s="71">
        <v>0</v>
      </c>
      <c r="T52" s="72">
        <v>1</v>
      </c>
      <c r="U52" s="72">
        <v>0</v>
      </c>
      <c r="V52" s="72">
        <v>0</v>
      </c>
      <c r="W52" s="72">
        <v>0</v>
      </c>
    </row>
    <row r="53" spans="1:23">
      <c r="A53" s="68"/>
      <c r="B53" s="68"/>
      <c r="C53" s="70" t="s">
        <v>81</v>
      </c>
      <c r="D53" s="69" t="s">
        <v>66</v>
      </c>
      <c r="E53" s="69">
        <v>1</v>
      </c>
      <c r="F53" s="69">
        <v>1</v>
      </c>
      <c r="G53" s="72">
        <v>1</v>
      </c>
      <c r="H53" s="72">
        <v>1</v>
      </c>
      <c r="I53" s="72">
        <v>1</v>
      </c>
      <c r="J53" s="72">
        <v>1</v>
      </c>
      <c r="K53" s="72">
        <v>1</v>
      </c>
      <c r="L53" s="72">
        <v>1</v>
      </c>
      <c r="M53" s="72">
        <v>1</v>
      </c>
      <c r="N53" s="72">
        <v>1</v>
      </c>
      <c r="O53" s="72">
        <v>1</v>
      </c>
      <c r="P53" s="72">
        <v>1</v>
      </c>
      <c r="Q53" s="72">
        <v>1</v>
      </c>
      <c r="R53" s="72">
        <v>1</v>
      </c>
      <c r="S53" s="71">
        <v>0</v>
      </c>
      <c r="T53" s="72">
        <v>1</v>
      </c>
      <c r="U53" s="72">
        <v>0</v>
      </c>
      <c r="V53" s="72">
        <v>0</v>
      </c>
      <c r="W53" s="72">
        <v>0</v>
      </c>
    </row>
    <row r="54" spans="1:23">
      <c r="A54" s="68"/>
      <c r="B54" s="68"/>
      <c r="C54" s="70" t="s">
        <v>82</v>
      </c>
      <c r="D54" s="69" t="s">
        <v>42</v>
      </c>
      <c r="E54" s="69">
        <v>1</v>
      </c>
      <c r="F54" s="69">
        <v>1</v>
      </c>
      <c r="G54" s="72">
        <v>1</v>
      </c>
      <c r="H54" s="72">
        <v>1</v>
      </c>
      <c r="I54" s="72">
        <v>1</v>
      </c>
      <c r="J54" s="72">
        <v>1</v>
      </c>
      <c r="K54" s="72">
        <v>1</v>
      </c>
      <c r="L54" s="72">
        <v>1</v>
      </c>
      <c r="M54" s="72">
        <v>1</v>
      </c>
      <c r="N54" s="72">
        <v>1</v>
      </c>
      <c r="O54" s="72">
        <v>1</v>
      </c>
      <c r="P54" s="72">
        <v>1</v>
      </c>
      <c r="Q54" s="72">
        <v>1</v>
      </c>
      <c r="R54" s="72">
        <v>1</v>
      </c>
      <c r="S54" s="71">
        <v>0</v>
      </c>
      <c r="T54" s="72">
        <v>1</v>
      </c>
      <c r="U54" s="72">
        <v>0</v>
      </c>
      <c r="V54" s="72">
        <v>0</v>
      </c>
      <c r="W54" s="72">
        <v>0</v>
      </c>
    </row>
    <row r="55" spans="1:23">
      <c r="A55" s="68"/>
      <c r="B55" s="68"/>
      <c r="C55" s="75"/>
      <c r="D55" s="75"/>
      <c r="E55" s="75"/>
      <c r="F55" s="75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</row>
    <row r="56" spans="1:23">
      <c r="A56" s="68"/>
      <c r="B56" s="68"/>
      <c r="C56" s="70" t="s">
        <v>83</v>
      </c>
      <c r="D56" s="69" t="s">
        <v>64</v>
      </c>
      <c r="E56" s="69">
        <v>1</v>
      </c>
      <c r="F56" s="69">
        <v>1</v>
      </c>
      <c r="G56" s="72">
        <v>1</v>
      </c>
      <c r="H56" s="72">
        <v>1</v>
      </c>
      <c r="I56" s="72">
        <v>1</v>
      </c>
      <c r="J56" s="72">
        <v>1</v>
      </c>
      <c r="K56" s="72">
        <v>1</v>
      </c>
      <c r="L56" s="72">
        <v>1</v>
      </c>
      <c r="M56" s="72">
        <v>1</v>
      </c>
      <c r="N56" s="72">
        <v>1</v>
      </c>
      <c r="O56" s="72">
        <v>1</v>
      </c>
      <c r="P56" s="72">
        <v>1</v>
      </c>
      <c r="Q56" s="72">
        <v>1</v>
      </c>
      <c r="R56" s="72">
        <v>1</v>
      </c>
      <c r="S56" s="72">
        <v>1</v>
      </c>
      <c r="T56" s="71">
        <v>0</v>
      </c>
      <c r="U56" s="72">
        <v>0</v>
      </c>
      <c r="V56" s="72">
        <v>0</v>
      </c>
      <c r="W56" s="72">
        <v>0</v>
      </c>
    </row>
    <row r="57" spans="1:23">
      <c r="A57" s="68"/>
      <c r="B57" s="68"/>
      <c r="C57" s="70" t="s">
        <v>84</v>
      </c>
      <c r="D57" s="69" t="s">
        <v>44</v>
      </c>
      <c r="E57" s="69">
        <v>1</v>
      </c>
      <c r="F57" s="69">
        <v>1</v>
      </c>
      <c r="G57" s="72">
        <v>1</v>
      </c>
      <c r="H57" s="72">
        <v>1</v>
      </c>
      <c r="I57" s="72">
        <v>1</v>
      </c>
      <c r="J57" s="72">
        <v>1</v>
      </c>
      <c r="K57" s="72">
        <v>1</v>
      </c>
      <c r="L57" s="72">
        <v>1</v>
      </c>
      <c r="M57" s="72">
        <v>1</v>
      </c>
      <c r="N57" s="72">
        <v>1</v>
      </c>
      <c r="O57" s="72">
        <v>1</v>
      </c>
      <c r="P57" s="72">
        <v>1</v>
      </c>
      <c r="Q57" s="72">
        <v>1</v>
      </c>
      <c r="R57" s="72">
        <v>1</v>
      </c>
      <c r="S57" s="72">
        <v>1</v>
      </c>
      <c r="T57" s="71">
        <v>0</v>
      </c>
      <c r="U57" s="72">
        <v>0</v>
      </c>
      <c r="V57" s="72">
        <v>0</v>
      </c>
      <c r="W57" s="72">
        <v>0</v>
      </c>
    </row>
    <row r="58" spans="1:23">
      <c r="A58" s="68"/>
      <c r="B58" s="68"/>
      <c r="C58" s="70" t="s">
        <v>85</v>
      </c>
      <c r="D58" s="69" t="s">
        <v>66</v>
      </c>
      <c r="E58" s="69">
        <v>1</v>
      </c>
      <c r="F58" s="69">
        <v>1</v>
      </c>
      <c r="G58" s="72">
        <v>1</v>
      </c>
      <c r="H58" s="72">
        <v>1</v>
      </c>
      <c r="I58" s="72">
        <v>1</v>
      </c>
      <c r="J58" s="72">
        <v>1</v>
      </c>
      <c r="K58" s="72">
        <v>1</v>
      </c>
      <c r="L58" s="72">
        <v>1</v>
      </c>
      <c r="M58" s="72">
        <v>1</v>
      </c>
      <c r="N58" s="72">
        <v>1</v>
      </c>
      <c r="O58" s="72">
        <v>1</v>
      </c>
      <c r="P58" s="72">
        <v>1</v>
      </c>
      <c r="Q58" s="72">
        <v>1</v>
      </c>
      <c r="R58" s="72">
        <v>1</v>
      </c>
      <c r="S58" s="72">
        <v>1</v>
      </c>
      <c r="T58" s="72">
        <v>1</v>
      </c>
      <c r="U58" s="71">
        <v>0</v>
      </c>
      <c r="V58" s="72">
        <v>0</v>
      </c>
      <c r="W58" s="72">
        <v>0</v>
      </c>
    </row>
    <row r="59" spans="1:23">
      <c r="A59" s="68"/>
      <c r="B59" s="68"/>
      <c r="C59" s="70" t="s">
        <v>86</v>
      </c>
      <c r="D59" s="69" t="s">
        <v>42</v>
      </c>
      <c r="E59" s="69">
        <v>1</v>
      </c>
      <c r="F59" s="69">
        <v>1</v>
      </c>
      <c r="G59" s="72">
        <v>1</v>
      </c>
      <c r="H59" s="72">
        <v>1</v>
      </c>
      <c r="I59" s="72">
        <v>1</v>
      </c>
      <c r="J59" s="72">
        <v>1</v>
      </c>
      <c r="K59" s="72">
        <v>1</v>
      </c>
      <c r="L59" s="72">
        <v>1</v>
      </c>
      <c r="M59" s="72">
        <v>1</v>
      </c>
      <c r="N59" s="72">
        <v>1</v>
      </c>
      <c r="O59" s="72">
        <v>1</v>
      </c>
      <c r="P59" s="72">
        <v>1</v>
      </c>
      <c r="Q59" s="72">
        <v>1</v>
      </c>
      <c r="R59" s="72">
        <v>1</v>
      </c>
      <c r="S59" s="72">
        <v>1</v>
      </c>
      <c r="T59" s="72">
        <v>1</v>
      </c>
      <c r="U59" s="71">
        <v>0</v>
      </c>
      <c r="V59" s="72">
        <v>0</v>
      </c>
      <c r="W59" s="72">
        <v>0</v>
      </c>
    </row>
    <row r="60" spans="1:23">
      <c r="A60" s="68"/>
      <c r="B60" s="68"/>
      <c r="C60" s="70" t="s">
        <v>87</v>
      </c>
      <c r="D60" s="69" t="s">
        <v>64</v>
      </c>
      <c r="E60" s="69">
        <v>2</v>
      </c>
      <c r="F60" s="69">
        <v>1</v>
      </c>
      <c r="G60" s="72">
        <v>1</v>
      </c>
      <c r="H60" s="72">
        <v>1</v>
      </c>
      <c r="I60" s="72">
        <v>1</v>
      </c>
      <c r="J60" s="72">
        <v>1</v>
      </c>
      <c r="K60" s="72">
        <v>1</v>
      </c>
      <c r="L60" s="72">
        <v>1</v>
      </c>
      <c r="M60" s="72">
        <v>1</v>
      </c>
      <c r="N60" s="72">
        <v>1</v>
      </c>
      <c r="O60" s="72">
        <v>1</v>
      </c>
      <c r="P60" s="72">
        <v>1</v>
      </c>
      <c r="Q60" s="72">
        <v>1</v>
      </c>
      <c r="R60" s="72">
        <v>1</v>
      </c>
      <c r="S60" s="72">
        <v>1</v>
      </c>
      <c r="T60" s="72">
        <v>1</v>
      </c>
      <c r="U60" s="72">
        <v>1</v>
      </c>
      <c r="V60" s="77">
        <v>0</v>
      </c>
      <c r="W60" s="72">
        <v>0</v>
      </c>
    </row>
    <row r="61" spans="1:23">
      <c r="A61" s="68"/>
      <c r="B61" s="68"/>
      <c r="C61" s="75"/>
      <c r="D61" s="75"/>
      <c r="E61" s="75"/>
      <c r="F61" s="75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80"/>
      <c r="V61" s="81">
        <v>1</v>
      </c>
      <c r="W61" s="72"/>
    </row>
    <row r="62" spans="1:23">
      <c r="A62" s="68"/>
      <c r="B62" s="68"/>
      <c r="C62" s="70" t="s">
        <v>88</v>
      </c>
      <c r="D62" s="69" t="s">
        <v>44</v>
      </c>
      <c r="E62" s="69">
        <v>1</v>
      </c>
      <c r="F62" s="69">
        <v>1</v>
      </c>
      <c r="G62" s="72">
        <v>1</v>
      </c>
      <c r="H62" s="72">
        <v>1</v>
      </c>
      <c r="I62" s="72">
        <v>1</v>
      </c>
      <c r="J62" s="72">
        <v>1</v>
      </c>
      <c r="K62" s="72">
        <v>1</v>
      </c>
      <c r="L62" s="72">
        <v>1</v>
      </c>
      <c r="M62" s="72">
        <v>1</v>
      </c>
      <c r="N62" s="72">
        <v>1</v>
      </c>
      <c r="O62" s="72">
        <v>1</v>
      </c>
      <c r="P62" s="72">
        <v>1</v>
      </c>
      <c r="Q62" s="72">
        <v>1</v>
      </c>
      <c r="R62" s="72">
        <v>1</v>
      </c>
      <c r="S62" s="72">
        <v>1</v>
      </c>
      <c r="T62" s="72">
        <v>1</v>
      </c>
      <c r="U62" s="72">
        <v>1</v>
      </c>
      <c r="V62" s="72">
        <v>0</v>
      </c>
      <c r="W62" s="71">
        <v>0</v>
      </c>
    </row>
    <row r="63" spans="1:23">
      <c r="A63" s="68"/>
      <c r="B63" s="68"/>
      <c r="C63" s="70" t="s">
        <v>89</v>
      </c>
      <c r="D63" s="69" t="s">
        <v>66</v>
      </c>
      <c r="E63" s="69">
        <v>1</v>
      </c>
      <c r="F63" s="69">
        <v>1</v>
      </c>
      <c r="G63" s="72">
        <v>1</v>
      </c>
      <c r="H63" s="72">
        <v>1</v>
      </c>
      <c r="I63" s="72">
        <v>1</v>
      </c>
      <c r="J63" s="72">
        <v>1</v>
      </c>
      <c r="K63" s="72">
        <v>1</v>
      </c>
      <c r="L63" s="72">
        <v>1</v>
      </c>
      <c r="M63" s="72">
        <v>1</v>
      </c>
      <c r="N63" s="72">
        <v>1</v>
      </c>
      <c r="O63" s="72">
        <v>1</v>
      </c>
      <c r="P63" s="72">
        <v>1</v>
      </c>
      <c r="Q63" s="72">
        <v>1</v>
      </c>
      <c r="R63" s="72">
        <v>1</v>
      </c>
      <c r="S63" s="72">
        <v>1</v>
      </c>
      <c r="T63" s="72">
        <v>1</v>
      </c>
      <c r="U63" s="72">
        <v>1</v>
      </c>
      <c r="V63" s="72">
        <v>0</v>
      </c>
      <c r="W63" s="71">
        <v>0</v>
      </c>
    </row>
    <row r="64" spans="1:23">
      <c r="A64" s="68"/>
      <c r="B64" s="69"/>
      <c r="C64" s="70" t="s">
        <v>90</v>
      </c>
      <c r="D64" s="69" t="s">
        <v>35</v>
      </c>
      <c r="E64" s="69">
        <v>2</v>
      </c>
      <c r="F64" s="69">
        <v>2</v>
      </c>
      <c r="G64" s="72">
        <v>2</v>
      </c>
      <c r="H64" s="72">
        <v>2</v>
      </c>
      <c r="I64" s="72">
        <v>2</v>
      </c>
      <c r="J64" s="72">
        <v>2</v>
      </c>
      <c r="K64" s="72">
        <v>2</v>
      </c>
      <c r="L64" s="72">
        <v>2</v>
      </c>
      <c r="M64" s="72">
        <v>2</v>
      </c>
      <c r="N64" s="72">
        <v>2</v>
      </c>
      <c r="O64" s="72">
        <v>2</v>
      </c>
      <c r="P64" s="72">
        <v>2</v>
      </c>
      <c r="Q64" s="72">
        <v>2</v>
      </c>
      <c r="R64" s="72">
        <v>2</v>
      </c>
      <c r="S64" s="72">
        <v>2</v>
      </c>
      <c r="T64" s="72">
        <v>2</v>
      </c>
      <c r="U64" s="72">
        <v>2</v>
      </c>
      <c r="V64" s="72">
        <v>2</v>
      </c>
      <c r="W64" s="71">
        <v>0</v>
      </c>
    </row>
    <row r="65" spans="1:23">
      <c r="A65" s="68"/>
      <c r="B65" s="69" t="s">
        <v>91</v>
      </c>
      <c r="C65" s="70" t="s">
        <v>92</v>
      </c>
      <c r="D65" s="69" t="s">
        <v>35</v>
      </c>
      <c r="E65" s="69">
        <v>1</v>
      </c>
      <c r="F65" s="69">
        <v>1</v>
      </c>
      <c r="G65" s="72">
        <v>1</v>
      </c>
      <c r="H65" s="72">
        <v>1</v>
      </c>
      <c r="I65" s="72">
        <v>1</v>
      </c>
      <c r="J65" s="72">
        <v>1</v>
      </c>
      <c r="K65" s="72">
        <v>1</v>
      </c>
      <c r="L65" s="72">
        <v>1</v>
      </c>
      <c r="M65" s="72">
        <v>1</v>
      </c>
      <c r="N65" s="72">
        <v>1</v>
      </c>
      <c r="O65" s="72">
        <v>1</v>
      </c>
      <c r="P65" s="72">
        <v>1</v>
      </c>
      <c r="Q65" s="72">
        <v>1</v>
      </c>
      <c r="R65" s="72">
        <v>1</v>
      </c>
      <c r="S65" s="72">
        <v>1</v>
      </c>
      <c r="T65" s="72">
        <v>1</v>
      </c>
      <c r="U65" s="72">
        <v>1</v>
      </c>
      <c r="V65" s="72">
        <v>1</v>
      </c>
      <c r="W65" s="71">
        <v>0</v>
      </c>
    </row>
    <row r="66" spans="1:23">
      <c r="A66" s="82" t="s">
        <v>20</v>
      </c>
      <c r="B66" s="82"/>
      <c r="C66" s="82" t="s">
        <v>14</v>
      </c>
      <c r="D66" s="82"/>
      <c r="E66" s="82">
        <v>57.5</v>
      </c>
      <c r="F66" s="82"/>
      <c r="G66" s="73">
        <f>SUM(G16:G65)</f>
        <v>55</v>
      </c>
      <c r="H66" s="73">
        <f>SUM(H16:H65)+I20</f>
        <v>53.5</v>
      </c>
      <c r="I66" s="73">
        <f>SUM(I16:I65)-I20</f>
        <v>51</v>
      </c>
      <c r="J66" s="73">
        <f t="shared" ref="J66:O66" si="2">SUM(J16:J65)</f>
        <v>45</v>
      </c>
      <c r="K66" s="73">
        <f t="shared" si="2"/>
        <v>40</v>
      </c>
      <c r="L66" s="73">
        <f t="shared" si="2"/>
        <v>37</v>
      </c>
      <c r="M66" s="73">
        <f t="shared" si="2"/>
        <v>36</v>
      </c>
      <c r="N66" s="73">
        <f t="shared" si="2"/>
        <v>31</v>
      </c>
      <c r="O66" s="73">
        <f t="shared" si="2"/>
        <v>31</v>
      </c>
      <c r="P66" s="73">
        <f>SUM(P16:P65)-P40</f>
        <v>27</v>
      </c>
      <c r="Q66" s="73">
        <f>SUM(Q16:Q65)</f>
        <v>19</v>
      </c>
      <c r="R66" s="73">
        <f>SUM(R16:R65)</f>
        <v>15</v>
      </c>
      <c r="S66" s="73">
        <f>SUM(S16:S65)</f>
        <v>10</v>
      </c>
      <c r="T66" s="73">
        <f>SUM(T16:T65)</f>
        <v>13</v>
      </c>
      <c r="U66" s="73">
        <f>SUM(U16:U65)-V61</f>
        <v>5</v>
      </c>
      <c r="V66" s="73">
        <v>4</v>
      </c>
      <c r="W66" s="73">
        <v>0</v>
      </c>
    </row>
    <row r="67" spans="1:23">
      <c r="A67" s="82"/>
      <c r="B67" s="82"/>
      <c r="C67" s="82" t="s">
        <v>15</v>
      </c>
      <c r="D67" s="82"/>
      <c r="E67" s="82">
        <v>56</v>
      </c>
      <c r="F67" s="82"/>
      <c r="G67" s="73">
        <f>SUM(G15:G65)</f>
        <v>55</v>
      </c>
      <c r="H67" s="73">
        <f>SUM(H15:H65)</f>
        <v>53</v>
      </c>
      <c r="I67" s="73">
        <f>SUM(I15:I65)</f>
        <v>51.5</v>
      </c>
      <c r="J67" s="73">
        <f>SUM(J15:J65)</f>
        <v>45</v>
      </c>
      <c r="K67" s="73">
        <f t="shared" ref="K67:AA67" si="3">SUM(K15:K65)</f>
        <v>40</v>
      </c>
      <c r="L67" s="73">
        <f t="shared" si="3"/>
        <v>37</v>
      </c>
      <c r="M67" s="73">
        <f t="shared" si="3"/>
        <v>36</v>
      </c>
      <c r="N67" s="73">
        <f t="shared" si="3"/>
        <v>31</v>
      </c>
      <c r="O67" s="73">
        <f t="shared" si="3"/>
        <v>31</v>
      </c>
      <c r="P67" s="73">
        <f t="shared" si="3"/>
        <v>28</v>
      </c>
      <c r="Q67" s="73">
        <f t="shared" si="3"/>
        <v>19</v>
      </c>
      <c r="R67" s="73">
        <f t="shared" si="3"/>
        <v>15</v>
      </c>
      <c r="S67" s="73">
        <f t="shared" si="3"/>
        <v>10</v>
      </c>
      <c r="T67" s="73">
        <f t="shared" si="3"/>
        <v>13</v>
      </c>
      <c r="U67" s="73">
        <f t="shared" si="3"/>
        <v>6</v>
      </c>
      <c r="V67" s="73">
        <f t="shared" si="3"/>
        <v>4</v>
      </c>
      <c r="W67" s="73">
        <f t="shared" si="3"/>
        <v>0</v>
      </c>
    </row>
    <row r="68" spans="1:23">
      <c r="A68" s="83"/>
      <c r="B68" s="83"/>
      <c r="C68" s="84"/>
      <c r="D68" s="84"/>
      <c r="E68" s="85"/>
      <c r="F68" s="85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7"/>
    </row>
    <row r="69" spans="1:23">
      <c r="A69" s="83"/>
      <c r="B69" s="83"/>
      <c r="C69" s="84"/>
      <c r="D69" s="84"/>
      <c r="E69" s="85"/>
      <c r="F69" s="85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7"/>
    </row>
    <row r="70" spans="1:23">
      <c r="A70" s="83"/>
      <c r="B70" s="83"/>
      <c r="C70" s="84"/>
      <c r="D70" s="84"/>
      <c r="E70" s="85"/>
      <c r="F70" s="85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7"/>
    </row>
    <row r="71" spans="1:23">
      <c r="A71" s="83"/>
      <c r="B71" s="83"/>
      <c r="C71" s="84"/>
      <c r="D71" s="84"/>
      <c r="E71" s="85"/>
      <c r="F71" s="85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7"/>
    </row>
    <row r="72" spans="1:23">
      <c r="A72" s="83"/>
      <c r="B72" s="83"/>
      <c r="C72" s="84"/>
      <c r="D72" s="84"/>
      <c r="E72" s="85"/>
      <c r="F72" s="85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7"/>
    </row>
    <row r="73" spans="1:23">
      <c r="A73" s="83"/>
      <c r="B73" s="83"/>
      <c r="C73" s="84"/>
      <c r="D73" s="84"/>
      <c r="E73" s="85"/>
      <c r="F73" s="85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7"/>
    </row>
    <row r="74" spans="1:23">
      <c r="A74" s="83"/>
      <c r="B74" s="83"/>
      <c r="C74" s="84"/>
      <c r="D74" s="84"/>
      <c r="E74" s="85"/>
      <c r="F74" s="85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7"/>
    </row>
    <row r="75" spans="1:23">
      <c r="A75" s="83"/>
      <c r="B75" s="83"/>
      <c r="C75" s="84"/>
      <c r="D75" s="84"/>
      <c r="E75" s="85"/>
      <c r="F75" s="85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7"/>
    </row>
    <row r="76" spans="1:23">
      <c r="A76" s="83"/>
      <c r="B76" s="88"/>
      <c r="C76" s="88"/>
      <c r="D76" s="88"/>
      <c r="E76" s="89"/>
      <c r="F76" s="89"/>
      <c r="G76" s="85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</row>
    <row r="77" spans="1:23">
      <c r="A77" s="83"/>
      <c r="B77" s="88"/>
      <c r="C77" s="88"/>
      <c r="D77" s="88"/>
      <c r="E77" s="89"/>
      <c r="F77" s="89"/>
      <c r="G77" s="85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</row>
  </sheetData>
  <mergeCells count="17">
    <mergeCell ref="A1:B1"/>
    <mergeCell ref="A2:B2"/>
    <mergeCell ref="A3:B3"/>
    <mergeCell ref="A4:B4"/>
    <mergeCell ref="B6:E6"/>
    <mergeCell ref="B12:C12"/>
    <mergeCell ref="C66:D66"/>
    <mergeCell ref="E66:F66"/>
    <mergeCell ref="C67:D67"/>
    <mergeCell ref="E67:F67"/>
    <mergeCell ref="A15:A65"/>
    <mergeCell ref="B15:B17"/>
    <mergeCell ref="B18:B27"/>
    <mergeCell ref="B28:B36"/>
    <mergeCell ref="B37:B45"/>
    <mergeCell ref="B46:B64"/>
    <mergeCell ref="A66:B67"/>
  </mergeCells>
  <pageMargins left="0.7" right="0.7" top="0.75" bottom="0.75" header="0.3" footer="0.3"/>
  <pageSetup paperSize="1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100"/>
  <sheetViews>
    <sheetView tabSelected="1" topLeftCell="D3" workbookViewId="0">
      <selection activeCell="Y46" sqref="Y46"/>
    </sheetView>
  </sheetViews>
  <sheetFormatPr defaultColWidth="9" defaultRowHeight="14.4"/>
  <cols>
    <col min="1" max="1" width="13.6296296296296" customWidth="1"/>
    <col min="2" max="2" width="21.0925925925926" customWidth="1"/>
    <col min="3" max="3" width="55.9074074074074" customWidth="1"/>
    <col min="4" max="4" width="12" customWidth="1"/>
    <col min="5" max="5" width="10.2685185185185" customWidth="1"/>
    <col min="6" max="6" width="20.0925925925926" customWidth="1"/>
    <col min="7" max="7" width="10.4444444444444" customWidth="1"/>
    <col min="8" max="8" width="11.4444444444444" customWidth="1"/>
    <col min="9" max="22" width="6" customWidth="1"/>
    <col min="23" max="23" width="10.2222222222222" customWidth="1"/>
    <col min="24" max="24" width="10.3333333333333" customWidth="1"/>
    <col min="25" max="25" width="9.11111111111111" customWidth="1"/>
    <col min="26" max="26" width="7.77777777777778" customWidth="1"/>
  </cols>
  <sheetData>
    <row r="1" ht="17.55" spans="1:99">
      <c r="A1" s="15" t="s">
        <v>0</v>
      </c>
      <c r="B1" s="15"/>
      <c r="C1" s="16" t="s">
        <v>1</v>
      </c>
      <c r="D1" s="17"/>
      <c r="E1" s="18"/>
      <c r="F1" s="19" t="s">
        <v>2</v>
      </c>
    </row>
    <row r="2" ht="17.55" spans="1:99">
      <c r="A2" s="15" t="s">
        <v>3</v>
      </c>
      <c r="B2" s="15"/>
      <c r="C2" s="20" t="s">
        <v>93</v>
      </c>
      <c r="D2" s="17"/>
      <c r="E2" s="21"/>
      <c r="F2" s="22" t="s">
        <v>5</v>
      </c>
    </row>
    <row r="3" ht="17.55" spans="1:99">
      <c r="A3" s="15" t="s">
        <v>6</v>
      </c>
      <c r="B3" s="15"/>
      <c r="C3" s="23">
        <v>46212</v>
      </c>
      <c r="D3" s="17"/>
      <c r="E3" s="24"/>
      <c r="F3" s="22" t="s">
        <v>7</v>
      </c>
    </row>
    <row r="4" ht="18" customHeight="1" spans="1:99">
      <c r="A4" s="15" t="s">
        <v>8</v>
      </c>
      <c r="B4" s="15"/>
      <c r="C4" s="23">
        <v>46122</v>
      </c>
      <c r="D4" s="17"/>
      <c r="E4" s="25"/>
      <c r="F4" s="22" t="s">
        <v>9</v>
      </c>
    </row>
    <row r="5" ht="18" customHeight="1" spans="1:99">
      <c r="A5" s="17"/>
      <c r="B5" s="17"/>
      <c r="C5" s="17"/>
      <c r="D5" s="17"/>
      <c r="E5" s="26"/>
      <c r="F5" s="27" t="s">
        <v>10</v>
      </c>
    </row>
    <row r="6" ht="17.55" spans="1:99">
      <c r="A6" s="17"/>
      <c r="B6" s="28" t="s">
        <v>94</v>
      </c>
      <c r="C6" s="28"/>
      <c r="D6" s="28"/>
      <c r="E6" s="29"/>
    </row>
    <row r="7" ht="17.55" spans="1:99">
      <c r="A7" s="17"/>
      <c r="B7" s="30" t="s">
        <v>12</v>
      </c>
      <c r="C7" s="30" t="s">
        <v>13</v>
      </c>
      <c r="D7" s="30" t="s">
        <v>14</v>
      </c>
      <c r="E7" s="30" t="s">
        <v>15</v>
      </c>
    </row>
    <row r="8" ht="17.55" spans="1:99">
      <c r="A8" s="17"/>
      <c r="B8" s="31">
        <v>1</v>
      </c>
      <c r="C8" s="20" t="s">
        <v>16</v>
      </c>
      <c r="D8" s="20">
        <f>SUMIF($D$15:$D$65,"*Hưng*",E$15:E$65)+SUMIF($D$15:$D$65,"All team",E$15:E$65)</f>
        <v>18</v>
      </c>
      <c r="E8" s="20">
        <f>SUMIF($D$15:$D$65,"*Hưng*",F$15:F$65)+SUMIF($D$15:$D$65,"All team",F$15:F$65)</f>
        <v>18</v>
      </c>
    </row>
    <row r="9" ht="17.55" spans="1:99">
      <c r="A9" s="17"/>
      <c r="B9" s="31">
        <v>2</v>
      </c>
      <c r="C9" s="20" t="s">
        <v>17</v>
      </c>
      <c r="D9" s="20">
        <f>SUMIF($D$15:$D$65,"*Khôi*",E$15:E$65)-SUMIF($D$15:$D$65,"*Đăng Khôi*",E$15:E$65)+SUMIF($D$15:$D$65,"All team",E$15:E$65)</f>
        <v>19.5</v>
      </c>
      <c r="E9" s="20">
        <f>SUMIF($D$15:$D$65,"*Khôi*",F$15:F$65)-SUMIF($D$15:$D$65,"*Đăng Khôi*",F$15:F$65)+SUMIF($D$15:$D$65,"All team",F$15:F$65)</f>
        <v>19</v>
      </c>
    </row>
    <row r="10" ht="17.55" spans="1:99">
      <c r="A10" s="17"/>
      <c r="B10" s="31">
        <v>3</v>
      </c>
      <c r="C10" s="20" t="s">
        <v>19</v>
      </c>
      <c r="D10" s="20">
        <f>SUMIF($D$15:$D$65,"*Huy*",E$15:E$65)+SUMIF($D$15:$D$65,"All team",E$15:E$65)</f>
        <v>19</v>
      </c>
      <c r="E10" s="20">
        <f>SUMIF($D$15:$D$65,"*Khôi*",F$15:F$65)-SUMIF($D$15:$D$65,"*Đăng Khôi*",F$15:F$65)+SUMIF($D$15:$D$65,"All team",F$15:F$65)</f>
        <v>19</v>
      </c>
    </row>
    <row r="11" ht="17.55" spans="1:99">
      <c r="A11" s="17"/>
      <c r="B11" s="31">
        <v>4</v>
      </c>
      <c r="C11" s="20" t="s">
        <v>18</v>
      </c>
      <c r="D11" s="20">
        <f>SUMIF($D$15:$D$65,"*Đăng Khôi*",E$15:E$65)+SUMIF($D$15:$D$65,"All team",E$15:E$65)</f>
        <v>20</v>
      </c>
      <c r="E11" s="20">
        <f>SUMIF($D$15:$D$65,"*Đăng Khôi*",F$15:F$65)+SUMIF($D$15:$D$65,"All team",F$15:F$65)</f>
        <v>19</v>
      </c>
    </row>
    <row r="12" ht="17.55" spans="1:99">
      <c r="A12" s="17"/>
      <c r="B12" s="32" t="s">
        <v>20</v>
      </c>
      <c r="C12" s="32"/>
      <c r="D12" s="33">
        <f>SUM(D8:D11)</f>
        <v>76.5</v>
      </c>
      <c r="E12" s="33">
        <f>SUM(E8:E11)</f>
        <v>75</v>
      </c>
    </row>
    <row r="14" ht="63.75" customHeight="1" spans="1:99">
      <c r="A14" s="34" t="s">
        <v>21</v>
      </c>
      <c r="B14" s="34" t="s">
        <v>22</v>
      </c>
      <c r="C14" s="34" t="s">
        <v>23</v>
      </c>
      <c r="D14" s="34" t="s">
        <v>24</v>
      </c>
      <c r="E14" s="34" t="s">
        <v>14</v>
      </c>
      <c r="F14" s="34" t="s">
        <v>15</v>
      </c>
      <c r="G14" s="35">
        <v>46365</v>
      </c>
      <c r="H14" s="35" t="s">
        <v>95</v>
      </c>
      <c r="I14" s="35" t="s">
        <v>96</v>
      </c>
      <c r="J14" s="35" t="s">
        <v>97</v>
      </c>
      <c r="K14" s="35" t="s">
        <v>98</v>
      </c>
      <c r="L14" s="35" t="s">
        <v>99</v>
      </c>
      <c r="M14" s="35" t="s">
        <v>100</v>
      </c>
      <c r="N14" s="35" t="s">
        <v>101</v>
      </c>
      <c r="O14" s="35" t="s">
        <v>102</v>
      </c>
      <c r="P14" s="35" t="s">
        <v>103</v>
      </c>
      <c r="Q14" s="35" t="s">
        <v>104</v>
      </c>
      <c r="R14" s="35" t="s">
        <v>105</v>
      </c>
      <c r="S14" s="35" t="s">
        <v>106</v>
      </c>
      <c r="T14" s="35" t="s">
        <v>107</v>
      </c>
      <c r="U14" s="35" t="s">
        <v>108</v>
      </c>
      <c r="V14" s="35" t="s">
        <v>109</v>
      </c>
      <c r="W14" s="35" t="s">
        <v>110</v>
      </c>
      <c r="X14" s="35" t="s">
        <v>111</v>
      </c>
      <c r="Y14" s="35" t="s">
        <v>112</v>
      </c>
      <c r="Z14" s="35">
        <v>46032</v>
      </c>
      <c r="AA14" s="35">
        <v>46063</v>
      </c>
      <c r="AB14" s="35">
        <v>46091</v>
      </c>
      <c r="AC14" s="35">
        <v>46122</v>
      </c>
      <c r="AD14" s="35">
        <v>46152</v>
      </c>
      <c r="AE14" s="35">
        <v>46183</v>
      </c>
      <c r="AF14" s="36"/>
      <c r="AG14" s="36"/>
      <c r="AH14" s="36"/>
      <c r="AI14" s="36"/>
      <c r="AJ14" s="36"/>
      <c r="AK14" s="36"/>
      <c r="AL14" s="36" t="s">
        <v>31</v>
      </c>
      <c r="AM14" s="35">
        <v>46365</v>
      </c>
      <c r="AN14" s="35" t="s">
        <v>95</v>
      </c>
      <c r="AO14" s="35" t="s">
        <v>96</v>
      </c>
      <c r="AP14" s="35" t="s">
        <v>97</v>
      </c>
      <c r="AQ14" s="35" t="s">
        <v>98</v>
      </c>
      <c r="AR14" s="35" t="s">
        <v>99</v>
      </c>
      <c r="AS14" s="35" t="s">
        <v>100</v>
      </c>
      <c r="AT14" s="35" t="s">
        <v>101</v>
      </c>
      <c r="AU14" s="35" t="s">
        <v>102</v>
      </c>
      <c r="AV14" s="35" t="s">
        <v>103</v>
      </c>
      <c r="AW14" s="35" t="s">
        <v>104</v>
      </c>
      <c r="AX14" s="35" t="s">
        <v>105</v>
      </c>
      <c r="AY14" s="35" t="s">
        <v>106</v>
      </c>
      <c r="AZ14" s="35" t="s">
        <v>107</v>
      </c>
      <c r="BA14" s="35" t="s">
        <v>108</v>
      </c>
      <c r="BB14" s="35" t="s">
        <v>109</v>
      </c>
      <c r="BC14" s="35" t="s">
        <v>110</v>
      </c>
      <c r="BD14" s="35" t="s">
        <v>111</v>
      </c>
      <c r="BE14" s="35" t="s">
        <v>112</v>
      </c>
      <c r="BF14" s="35">
        <v>46032</v>
      </c>
      <c r="BG14" s="35">
        <v>46063</v>
      </c>
      <c r="BH14" s="35">
        <v>46091</v>
      </c>
      <c r="BI14" s="35">
        <v>46122</v>
      </c>
      <c r="BJ14" s="35">
        <v>46152</v>
      </c>
      <c r="BK14" s="35">
        <v>46183</v>
      </c>
    </row>
    <row r="15" spans="1:99">
      <c r="A15" s="37" t="s">
        <v>113</v>
      </c>
      <c r="B15" s="38" t="s">
        <v>33</v>
      </c>
      <c r="C15" s="39" t="s">
        <v>114</v>
      </c>
      <c r="D15" s="38" t="s">
        <v>35</v>
      </c>
      <c r="E15" s="38">
        <v>1</v>
      </c>
      <c r="F15" s="38">
        <v>1</v>
      </c>
      <c r="G15" s="40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L15" t="s">
        <v>14</v>
      </c>
      <c r="AM15" s="42">
        <f>G66</f>
        <v>55</v>
      </c>
      <c r="AN15" s="42">
        <f t="shared" ref="AN15:BK15" si="0">H66</f>
        <v>54</v>
      </c>
      <c r="AO15" s="42">
        <f t="shared" si="0"/>
        <v>53</v>
      </c>
      <c r="AP15" s="42">
        <f t="shared" si="0"/>
        <v>51</v>
      </c>
      <c r="AQ15" s="42">
        <f t="shared" si="0"/>
        <v>49</v>
      </c>
      <c r="AR15" s="42">
        <f t="shared" si="0"/>
        <v>46.5</v>
      </c>
      <c r="AS15" s="42">
        <f t="shared" si="0"/>
        <v>45</v>
      </c>
      <c r="AT15" s="42">
        <f t="shared" si="0"/>
        <v>44</v>
      </c>
      <c r="AU15" s="42">
        <f t="shared" si="0"/>
        <v>42</v>
      </c>
      <c r="AV15" s="42">
        <f t="shared" si="0"/>
        <v>40</v>
      </c>
      <c r="AW15" s="42">
        <f t="shared" si="0"/>
        <v>38</v>
      </c>
      <c r="AX15" s="42">
        <f t="shared" si="0"/>
        <v>36</v>
      </c>
      <c r="AY15" s="42">
        <f t="shared" si="0"/>
        <v>31</v>
      </c>
      <c r="AZ15" s="42">
        <f t="shared" si="0"/>
        <v>31</v>
      </c>
      <c r="BA15" s="42">
        <f t="shared" si="0"/>
        <v>27</v>
      </c>
      <c r="BB15" s="42">
        <f t="shared" si="0"/>
        <v>27</v>
      </c>
      <c r="BC15" s="42">
        <f t="shared" si="0"/>
        <v>22</v>
      </c>
      <c r="BD15" s="42">
        <f t="shared" si="0"/>
        <v>22</v>
      </c>
      <c r="BE15" s="42">
        <f t="shared" si="0"/>
        <v>14</v>
      </c>
      <c r="BF15" s="42">
        <f t="shared" si="0"/>
        <v>10</v>
      </c>
      <c r="BG15" s="42">
        <f t="shared" si="0"/>
        <v>6</v>
      </c>
      <c r="BH15" s="42">
        <f t="shared" si="0"/>
        <v>6</v>
      </c>
      <c r="BI15" s="42">
        <f t="shared" si="0"/>
        <v>4</v>
      </c>
      <c r="BJ15" s="42">
        <f t="shared" si="0"/>
        <v>1</v>
      </c>
      <c r="BK15" s="42">
        <f t="shared" si="0"/>
        <v>0</v>
      </c>
    </row>
    <row r="16" ht="22.8" spans="1:99">
      <c r="A16" s="37"/>
      <c r="B16" s="37"/>
      <c r="C16" s="39" t="s">
        <v>115</v>
      </c>
      <c r="D16" s="38" t="s">
        <v>37</v>
      </c>
      <c r="E16" s="38">
        <v>1</v>
      </c>
      <c r="F16" s="38">
        <v>1</v>
      </c>
      <c r="G16" s="41">
        <v>1</v>
      </c>
      <c r="H16" s="40">
        <v>0</v>
      </c>
      <c r="I16" s="41">
        <v>0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  <c r="X16" s="41">
        <v>0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0</v>
      </c>
      <c r="AE16" s="41">
        <v>0</v>
      </c>
      <c r="AL16" t="s">
        <v>15</v>
      </c>
      <c r="AM16" s="42">
        <f>G67</f>
        <v>56</v>
      </c>
      <c r="AN16" s="42">
        <f t="shared" ref="AN16:BK16" si="1">H67</f>
        <v>55</v>
      </c>
      <c r="AO16" s="42">
        <f t="shared" si="1"/>
        <v>54</v>
      </c>
      <c r="AP16" s="42">
        <f t="shared" si="1"/>
        <v>53</v>
      </c>
      <c r="AQ16" s="42">
        <f t="shared" si="1"/>
        <v>51</v>
      </c>
      <c r="AR16" s="42">
        <f t="shared" si="1"/>
        <v>49</v>
      </c>
      <c r="AS16" s="42">
        <f t="shared" si="1"/>
        <v>47.5</v>
      </c>
      <c r="AT16" s="42">
        <f t="shared" si="1"/>
        <v>45</v>
      </c>
      <c r="AU16" s="42">
        <f t="shared" si="1"/>
        <v>44</v>
      </c>
      <c r="AV16" s="42">
        <f t="shared" si="1"/>
        <v>42</v>
      </c>
      <c r="AW16" s="42">
        <f t="shared" si="1"/>
        <v>40</v>
      </c>
      <c r="AX16" s="42">
        <f t="shared" si="1"/>
        <v>38</v>
      </c>
      <c r="AY16" s="42">
        <f t="shared" si="1"/>
        <v>36</v>
      </c>
      <c r="AZ16" s="42">
        <f t="shared" si="1"/>
        <v>31</v>
      </c>
      <c r="BA16" s="42">
        <f t="shared" si="1"/>
        <v>31</v>
      </c>
      <c r="BB16" s="42">
        <f t="shared" si="1"/>
        <v>27</v>
      </c>
      <c r="BC16" s="42">
        <f t="shared" si="1"/>
        <v>27</v>
      </c>
      <c r="BD16" s="42">
        <f t="shared" si="1"/>
        <v>22</v>
      </c>
      <c r="BE16" s="42">
        <f t="shared" si="1"/>
        <v>22</v>
      </c>
      <c r="BF16" s="42">
        <f t="shared" si="1"/>
        <v>14</v>
      </c>
      <c r="BG16" s="42">
        <f t="shared" si="1"/>
        <v>10</v>
      </c>
      <c r="BH16" s="42">
        <f t="shared" si="1"/>
        <v>10</v>
      </c>
      <c r="BI16" s="42">
        <f t="shared" si="1"/>
        <v>6</v>
      </c>
      <c r="BJ16" s="42">
        <f t="shared" si="1"/>
        <v>5</v>
      </c>
      <c r="BK16" s="42">
        <f t="shared" si="1"/>
        <v>0</v>
      </c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>
        <f t="shared" ref="BY16:CU16" si="2">CW67</f>
        <v>0</v>
      </c>
      <c r="BZ16" s="42">
        <f t="shared" si="2"/>
        <v>0</v>
      </c>
      <c r="CA16" s="42">
        <f t="shared" si="2"/>
        <v>0</v>
      </c>
      <c r="CB16" s="42">
        <f t="shared" si="2"/>
        <v>0</v>
      </c>
      <c r="CC16" s="42">
        <f t="shared" si="2"/>
        <v>0</v>
      </c>
      <c r="CD16" s="42">
        <f t="shared" si="2"/>
        <v>0</v>
      </c>
      <c r="CE16" s="42">
        <f t="shared" si="2"/>
        <v>0</v>
      </c>
      <c r="CF16" s="42">
        <f t="shared" si="2"/>
        <v>0</v>
      </c>
      <c r="CG16" s="42">
        <f t="shared" si="2"/>
        <v>0</v>
      </c>
      <c r="CH16" s="42">
        <f t="shared" si="2"/>
        <v>0</v>
      </c>
      <c r="CI16" s="42">
        <f t="shared" si="2"/>
        <v>0</v>
      </c>
      <c r="CJ16" s="42">
        <f t="shared" si="2"/>
        <v>0</v>
      </c>
      <c r="CK16" s="42">
        <f t="shared" si="2"/>
        <v>0</v>
      </c>
      <c r="CL16" s="42">
        <f t="shared" si="2"/>
        <v>0</v>
      </c>
      <c r="CM16" s="42">
        <f t="shared" si="2"/>
        <v>0</v>
      </c>
      <c r="CN16" s="42">
        <f t="shared" si="2"/>
        <v>0</v>
      </c>
      <c r="CO16" s="42">
        <f t="shared" si="2"/>
        <v>0</v>
      </c>
      <c r="CP16" s="42">
        <f t="shared" si="2"/>
        <v>0</v>
      </c>
      <c r="CQ16" s="42">
        <f t="shared" si="2"/>
        <v>0</v>
      </c>
      <c r="CR16" s="42">
        <f t="shared" si="2"/>
        <v>0</v>
      </c>
      <c r="CS16" s="42">
        <f t="shared" si="2"/>
        <v>0</v>
      </c>
      <c r="CT16" s="42">
        <f t="shared" si="2"/>
        <v>0</v>
      </c>
      <c r="CU16" s="42">
        <f t="shared" si="2"/>
        <v>0</v>
      </c>
    </row>
    <row r="17" spans="1:31">
      <c r="A17" s="37"/>
      <c r="B17" s="38"/>
      <c r="C17" s="39" t="s">
        <v>116</v>
      </c>
      <c r="D17" s="38" t="s">
        <v>39</v>
      </c>
      <c r="E17" s="38">
        <v>1</v>
      </c>
      <c r="F17" s="38">
        <v>1</v>
      </c>
      <c r="G17" s="41">
        <v>1</v>
      </c>
      <c r="H17" s="41">
        <v>1</v>
      </c>
      <c r="I17" s="40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</row>
    <row r="18" spans="1:31">
      <c r="A18" s="37"/>
      <c r="B18" s="38" t="s">
        <v>40</v>
      </c>
      <c r="C18" s="39" t="s">
        <v>117</v>
      </c>
      <c r="D18" s="38" t="s">
        <v>42</v>
      </c>
      <c r="E18" s="38">
        <v>1</v>
      </c>
      <c r="F18" s="38">
        <v>1</v>
      </c>
      <c r="G18" s="41">
        <v>1</v>
      </c>
      <c r="H18" s="41">
        <v>1</v>
      </c>
      <c r="I18" s="41">
        <v>1</v>
      </c>
      <c r="J18" s="40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</row>
    <row r="19" spans="1:31">
      <c r="A19" s="37"/>
      <c r="B19" s="37"/>
      <c r="C19" s="39" t="s">
        <v>118</v>
      </c>
      <c r="D19" s="38" t="s">
        <v>44</v>
      </c>
      <c r="E19" s="38">
        <v>1</v>
      </c>
      <c r="F19" s="38">
        <v>1</v>
      </c>
      <c r="G19" s="41">
        <v>1</v>
      </c>
      <c r="H19" s="41">
        <v>1</v>
      </c>
      <c r="I19" s="41">
        <v>1</v>
      </c>
      <c r="J19" s="40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</row>
    <row r="20" ht="17.25" customHeight="1" spans="1:31">
      <c r="A20" s="37"/>
      <c r="B20" s="37"/>
      <c r="C20" s="39" t="s">
        <v>119</v>
      </c>
      <c r="D20" s="38" t="s">
        <v>42</v>
      </c>
      <c r="E20" s="38">
        <v>1</v>
      </c>
      <c r="F20" s="38">
        <v>1</v>
      </c>
      <c r="G20" s="41">
        <v>1</v>
      </c>
      <c r="H20" s="41">
        <v>1</v>
      </c>
      <c r="I20" s="41">
        <v>1</v>
      </c>
      <c r="J20" s="41">
        <v>1</v>
      </c>
      <c r="K20" s="40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</row>
    <row r="21" spans="1:31">
      <c r="A21" s="37"/>
      <c r="B21" s="37"/>
      <c r="C21" s="39" t="s">
        <v>120</v>
      </c>
      <c r="D21" s="38" t="s">
        <v>44</v>
      </c>
      <c r="E21" s="38">
        <v>1</v>
      </c>
      <c r="F21" s="38">
        <v>1</v>
      </c>
      <c r="G21" s="41">
        <v>1</v>
      </c>
      <c r="H21" s="41">
        <v>1</v>
      </c>
      <c r="I21" s="41">
        <v>1</v>
      </c>
      <c r="J21" s="41">
        <v>1</v>
      </c>
      <c r="K21" s="40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</row>
    <row r="22" spans="1:31">
      <c r="A22" s="37"/>
      <c r="B22" s="37"/>
      <c r="C22" s="39" t="s">
        <v>121</v>
      </c>
      <c r="D22" s="38" t="s">
        <v>42</v>
      </c>
      <c r="E22" s="38">
        <v>1</v>
      </c>
      <c r="F22" s="38">
        <v>1</v>
      </c>
      <c r="G22" s="41">
        <v>1</v>
      </c>
      <c r="H22" s="41">
        <v>1</v>
      </c>
      <c r="I22" s="41">
        <v>1</v>
      </c>
      <c r="J22" s="41">
        <v>1</v>
      </c>
      <c r="K22" s="41">
        <v>1</v>
      </c>
      <c r="L22" s="40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</row>
    <row r="23" spans="1:31">
      <c r="A23" s="37"/>
      <c r="B23" s="37"/>
      <c r="C23" s="39" t="s">
        <v>122</v>
      </c>
      <c r="D23" s="38" t="s">
        <v>44</v>
      </c>
      <c r="E23" s="38">
        <v>0.5</v>
      </c>
      <c r="F23" s="38">
        <v>1</v>
      </c>
      <c r="G23" s="41">
        <v>1</v>
      </c>
      <c r="H23" s="41">
        <v>1</v>
      </c>
      <c r="I23" s="41">
        <v>1</v>
      </c>
      <c r="J23" s="41">
        <v>1</v>
      </c>
      <c r="K23" s="41">
        <v>1</v>
      </c>
      <c r="L23" s="43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0</v>
      </c>
      <c r="AE23" s="41">
        <v>0</v>
      </c>
    </row>
    <row r="24" spans="1:31">
      <c r="A24" s="37"/>
      <c r="B24" s="37"/>
      <c r="C24" s="44"/>
      <c r="D24" s="44"/>
      <c r="E24" s="44"/>
      <c r="F24" s="44"/>
      <c r="G24" s="41"/>
      <c r="H24" s="41"/>
      <c r="I24" s="41"/>
      <c r="J24" s="41"/>
      <c r="K24" s="41"/>
      <c r="L24" s="45">
        <v>0.5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</row>
    <row r="25" spans="1:31">
      <c r="A25" s="37"/>
      <c r="B25" s="37"/>
      <c r="C25" s="39" t="s">
        <v>123</v>
      </c>
      <c r="D25" s="38" t="s">
        <v>42</v>
      </c>
      <c r="E25" s="38">
        <v>1</v>
      </c>
      <c r="F25" s="38">
        <v>1</v>
      </c>
      <c r="G25" s="41">
        <v>1</v>
      </c>
      <c r="H25" s="41">
        <v>1</v>
      </c>
      <c r="I25" s="41">
        <v>1</v>
      </c>
      <c r="J25" s="41">
        <v>1</v>
      </c>
      <c r="K25" s="41">
        <v>1</v>
      </c>
      <c r="L25" s="41">
        <v>1</v>
      </c>
      <c r="M25" s="40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</row>
    <row r="26" spans="1:31">
      <c r="A26" s="37"/>
      <c r="B26" s="37"/>
      <c r="C26" s="39" t="s">
        <v>124</v>
      </c>
      <c r="D26" s="38" t="s">
        <v>44</v>
      </c>
      <c r="E26" s="38">
        <v>1</v>
      </c>
      <c r="F26" s="38">
        <v>1</v>
      </c>
      <c r="G26" s="41">
        <v>1</v>
      </c>
      <c r="H26" s="41">
        <v>1</v>
      </c>
      <c r="I26" s="41">
        <v>1</v>
      </c>
      <c r="J26" s="41">
        <v>1</v>
      </c>
      <c r="K26" s="41">
        <v>1</v>
      </c>
      <c r="L26" s="41">
        <v>1</v>
      </c>
      <c r="M26" s="40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</row>
    <row r="27" spans="1:31">
      <c r="A27" s="37"/>
      <c r="B27" s="38"/>
      <c r="C27" s="39" t="s">
        <v>51</v>
      </c>
      <c r="D27" s="38" t="s">
        <v>35</v>
      </c>
      <c r="E27" s="38">
        <v>1</v>
      </c>
      <c r="F27" s="38">
        <v>1</v>
      </c>
      <c r="G27" s="41">
        <v>1</v>
      </c>
      <c r="H27" s="41">
        <v>1</v>
      </c>
      <c r="I27" s="41">
        <v>1</v>
      </c>
      <c r="J27" s="41">
        <v>1</v>
      </c>
      <c r="K27" s="41">
        <v>1</v>
      </c>
      <c r="L27" s="41">
        <v>1</v>
      </c>
      <c r="M27" s="41">
        <v>1</v>
      </c>
      <c r="N27" s="40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</row>
    <row r="28" spans="1:31">
      <c r="A28" s="37"/>
      <c r="B28" s="38" t="s">
        <v>52</v>
      </c>
      <c r="C28" s="39" t="s">
        <v>125</v>
      </c>
      <c r="D28" s="38" t="s">
        <v>42</v>
      </c>
      <c r="E28" s="38">
        <v>1</v>
      </c>
      <c r="F28" s="38">
        <v>1</v>
      </c>
      <c r="G28" s="41">
        <v>1</v>
      </c>
      <c r="H28" s="41">
        <v>1</v>
      </c>
      <c r="I28" s="41">
        <v>1</v>
      </c>
      <c r="J28" s="41">
        <v>1</v>
      </c>
      <c r="K28" s="41">
        <v>1</v>
      </c>
      <c r="L28" s="41">
        <v>1</v>
      </c>
      <c r="M28" s="41">
        <v>1</v>
      </c>
      <c r="N28" s="41">
        <v>1</v>
      </c>
      <c r="O28" s="40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</row>
    <row r="29" spans="1:31">
      <c r="A29" s="37"/>
      <c r="B29" s="37"/>
      <c r="C29" s="39" t="s">
        <v>126</v>
      </c>
      <c r="D29" s="38" t="s">
        <v>44</v>
      </c>
      <c r="E29" s="38">
        <v>1</v>
      </c>
      <c r="F29" s="38">
        <v>1</v>
      </c>
      <c r="G29" s="41">
        <v>1</v>
      </c>
      <c r="H29" s="41">
        <v>1</v>
      </c>
      <c r="I29" s="41">
        <v>1</v>
      </c>
      <c r="J29" s="41">
        <v>1</v>
      </c>
      <c r="K29" s="41">
        <v>1</v>
      </c>
      <c r="L29" s="41">
        <v>1</v>
      </c>
      <c r="M29" s="41">
        <v>1</v>
      </c>
      <c r="N29" s="41">
        <v>1</v>
      </c>
      <c r="O29" s="40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</row>
    <row r="30" spans="1:31">
      <c r="A30" s="37"/>
      <c r="B30" s="37"/>
      <c r="C30" s="39" t="s">
        <v>127</v>
      </c>
      <c r="D30" s="38" t="s">
        <v>42</v>
      </c>
      <c r="E30" s="38">
        <v>1</v>
      </c>
      <c r="F30" s="38">
        <v>1</v>
      </c>
      <c r="G30" s="41">
        <v>1</v>
      </c>
      <c r="H30" s="41">
        <v>1</v>
      </c>
      <c r="I30" s="41">
        <v>1</v>
      </c>
      <c r="J30" s="41">
        <v>1</v>
      </c>
      <c r="K30" s="41">
        <v>1</v>
      </c>
      <c r="L30" s="41">
        <v>1</v>
      </c>
      <c r="M30" s="41">
        <v>1</v>
      </c>
      <c r="N30" s="41">
        <v>1</v>
      </c>
      <c r="O30" s="41">
        <v>1</v>
      </c>
      <c r="P30" s="40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</row>
    <row r="31" spans="1:31">
      <c r="A31" s="37"/>
      <c r="B31" s="37"/>
      <c r="C31" s="39" t="s">
        <v>128</v>
      </c>
      <c r="D31" s="38" t="s">
        <v>44</v>
      </c>
      <c r="E31" s="38">
        <v>1</v>
      </c>
      <c r="F31" s="38">
        <v>1</v>
      </c>
      <c r="G31" s="41">
        <v>1</v>
      </c>
      <c r="H31" s="41">
        <v>1</v>
      </c>
      <c r="I31" s="41">
        <v>1</v>
      </c>
      <c r="J31" s="41">
        <v>1</v>
      </c>
      <c r="K31" s="41">
        <v>1</v>
      </c>
      <c r="L31" s="41">
        <v>1</v>
      </c>
      <c r="M31" s="41">
        <v>1</v>
      </c>
      <c r="N31" s="41">
        <v>1</v>
      </c>
      <c r="O31" s="41">
        <v>1</v>
      </c>
      <c r="P31" s="40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</row>
    <row r="32" spans="1:31">
      <c r="A32" s="37"/>
      <c r="B32" s="37"/>
      <c r="C32" s="39" t="s">
        <v>129</v>
      </c>
      <c r="D32" s="38" t="s">
        <v>42</v>
      </c>
      <c r="E32" s="38">
        <v>1</v>
      </c>
      <c r="F32" s="38">
        <v>1</v>
      </c>
      <c r="G32" s="41">
        <v>1</v>
      </c>
      <c r="H32" s="41">
        <v>1</v>
      </c>
      <c r="I32" s="41">
        <v>1</v>
      </c>
      <c r="J32" s="41">
        <v>1</v>
      </c>
      <c r="K32" s="41">
        <v>1</v>
      </c>
      <c r="L32" s="41">
        <v>1</v>
      </c>
      <c r="M32" s="41">
        <v>1</v>
      </c>
      <c r="N32" s="41">
        <v>1</v>
      </c>
      <c r="O32" s="41">
        <v>1</v>
      </c>
      <c r="P32" s="41">
        <v>1</v>
      </c>
      <c r="Q32" s="40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0</v>
      </c>
      <c r="AD32" s="41">
        <v>0</v>
      </c>
      <c r="AE32" s="41">
        <v>0</v>
      </c>
    </row>
    <row r="33" spans="1:31">
      <c r="A33" s="37"/>
      <c r="B33" s="37"/>
      <c r="C33" s="39" t="s">
        <v>130</v>
      </c>
      <c r="D33" s="38" t="s">
        <v>44</v>
      </c>
      <c r="E33" s="38">
        <v>1</v>
      </c>
      <c r="F33" s="38">
        <v>1</v>
      </c>
      <c r="G33" s="41">
        <v>1</v>
      </c>
      <c r="H33" s="41">
        <v>1</v>
      </c>
      <c r="I33" s="41">
        <v>1</v>
      </c>
      <c r="J33" s="41">
        <v>1</v>
      </c>
      <c r="K33" s="41">
        <v>1</v>
      </c>
      <c r="L33" s="41">
        <v>1</v>
      </c>
      <c r="M33" s="41">
        <v>1</v>
      </c>
      <c r="N33" s="41">
        <v>1</v>
      </c>
      <c r="O33" s="41">
        <v>1</v>
      </c>
      <c r="P33" s="41">
        <v>1</v>
      </c>
      <c r="Q33" s="40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</row>
    <row r="34" spans="1:31">
      <c r="A34" s="37"/>
      <c r="B34" s="37"/>
      <c r="C34" s="39" t="s">
        <v>131</v>
      </c>
      <c r="D34" s="38" t="s">
        <v>42</v>
      </c>
      <c r="E34" s="38">
        <v>1</v>
      </c>
      <c r="F34" s="38">
        <v>1</v>
      </c>
      <c r="G34" s="41">
        <v>1</v>
      </c>
      <c r="H34" s="41">
        <v>1</v>
      </c>
      <c r="I34" s="41">
        <v>1</v>
      </c>
      <c r="J34" s="41">
        <v>1</v>
      </c>
      <c r="K34" s="41">
        <v>1</v>
      </c>
      <c r="L34" s="41">
        <v>1</v>
      </c>
      <c r="M34" s="41">
        <v>1</v>
      </c>
      <c r="N34" s="41">
        <v>1</v>
      </c>
      <c r="O34" s="41">
        <v>1</v>
      </c>
      <c r="P34" s="41">
        <v>1</v>
      </c>
      <c r="Q34" s="41">
        <v>1</v>
      </c>
      <c r="R34" s="40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</row>
    <row r="35" spans="1:31">
      <c r="A35" s="37"/>
      <c r="B35" s="37"/>
      <c r="C35" s="39" t="s">
        <v>132</v>
      </c>
      <c r="D35" s="38" t="s">
        <v>44</v>
      </c>
      <c r="E35" s="38">
        <v>1</v>
      </c>
      <c r="F35" s="38">
        <v>1</v>
      </c>
      <c r="G35" s="41">
        <v>1</v>
      </c>
      <c r="H35" s="41">
        <v>1</v>
      </c>
      <c r="I35" s="41">
        <v>1</v>
      </c>
      <c r="J35" s="41">
        <v>1</v>
      </c>
      <c r="K35" s="41">
        <v>1</v>
      </c>
      <c r="L35" s="41">
        <v>1</v>
      </c>
      <c r="M35" s="41">
        <v>1</v>
      </c>
      <c r="N35" s="41">
        <v>1</v>
      </c>
      <c r="O35" s="41">
        <v>1</v>
      </c>
      <c r="P35" s="41">
        <v>1</v>
      </c>
      <c r="Q35" s="41">
        <v>1</v>
      </c>
      <c r="R35" s="40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</row>
    <row r="36" spans="1:31">
      <c r="A36" s="37"/>
      <c r="B36" s="38"/>
      <c r="C36" s="39" t="s">
        <v>61</v>
      </c>
      <c r="D36" s="38" t="s">
        <v>35</v>
      </c>
      <c r="E36" s="38">
        <v>1</v>
      </c>
      <c r="F36" s="38">
        <v>1</v>
      </c>
      <c r="G36" s="41">
        <v>1</v>
      </c>
      <c r="H36" s="41">
        <v>1</v>
      </c>
      <c r="I36" s="41">
        <v>1</v>
      </c>
      <c r="J36" s="41">
        <v>1</v>
      </c>
      <c r="K36" s="41">
        <v>1</v>
      </c>
      <c r="L36" s="41">
        <v>1</v>
      </c>
      <c r="M36" s="41">
        <v>1</v>
      </c>
      <c r="N36" s="41">
        <v>1</v>
      </c>
      <c r="O36" s="41">
        <v>1</v>
      </c>
      <c r="P36" s="41">
        <v>1</v>
      </c>
      <c r="Q36" s="41">
        <v>1</v>
      </c>
      <c r="R36" s="41">
        <v>1</v>
      </c>
      <c r="S36" s="40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</row>
    <row r="37" spans="1:31">
      <c r="A37" s="37"/>
      <c r="B37" s="38" t="s">
        <v>62</v>
      </c>
      <c r="C37" s="39" t="s">
        <v>133</v>
      </c>
      <c r="D37" s="38" t="s">
        <v>64</v>
      </c>
      <c r="E37" s="38">
        <v>2</v>
      </c>
      <c r="F37" s="38">
        <v>2</v>
      </c>
      <c r="G37" s="38">
        <v>2</v>
      </c>
      <c r="H37" s="38">
        <v>2</v>
      </c>
      <c r="I37" s="38">
        <v>2</v>
      </c>
      <c r="J37" s="38">
        <v>2</v>
      </c>
      <c r="K37" s="38">
        <v>2</v>
      </c>
      <c r="L37" s="38">
        <v>2</v>
      </c>
      <c r="M37" s="38">
        <v>2</v>
      </c>
      <c r="N37" s="38">
        <v>2</v>
      </c>
      <c r="O37" s="38">
        <v>2</v>
      </c>
      <c r="P37" s="38">
        <v>2</v>
      </c>
      <c r="Q37" s="38">
        <v>2</v>
      </c>
      <c r="R37" s="38">
        <v>2</v>
      </c>
      <c r="S37" s="40">
        <v>0</v>
      </c>
      <c r="T37" s="41">
        <v>0</v>
      </c>
      <c r="U37" s="41">
        <v>0</v>
      </c>
      <c r="V37" s="41">
        <v>0</v>
      </c>
      <c r="W37" s="41">
        <v>0</v>
      </c>
      <c r="X37" s="41">
        <v>0</v>
      </c>
      <c r="Y37" s="41">
        <v>0</v>
      </c>
      <c r="Z37" s="41">
        <v>0</v>
      </c>
      <c r="AA37" s="41">
        <v>0</v>
      </c>
      <c r="AB37" s="41">
        <v>0</v>
      </c>
      <c r="AC37" s="41">
        <v>0</v>
      </c>
      <c r="AD37" s="41">
        <v>0</v>
      </c>
      <c r="AE37" s="41">
        <v>0</v>
      </c>
    </row>
    <row r="38" spans="1:31">
      <c r="A38" s="37"/>
      <c r="B38" s="37"/>
      <c r="C38" s="39" t="s">
        <v>134</v>
      </c>
      <c r="D38" s="38" t="s">
        <v>66</v>
      </c>
      <c r="E38" s="38">
        <v>2</v>
      </c>
      <c r="F38" s="38">
        <v>2</v>
      </c>
      <c r="G38" s="38">
        <v>2</v>
      </c>
      <c r="H38" s="38">
        <v>2</v>
      </c>
      <c r="I38" s="38">
        <v>2</v>
      </c>
      <c r="J38" s="38">
        <v>2</v>
      </c>
      <c r="K38" s="38">
        <v>2</v>
      </c>
      <c r="L38" s="38">
        <v>2</v>
      </c>
      <c r="M38" s="38">
        <v>2</v>
      </c>
      <c r="N38" s="38">
        <v>2</v>
      </c>
      <c r="O38" s="38">
        <v>2</v>
      </c>
      <c r="P38" s="38">
        <v>2</v>
      </c>
      <c r="Q38" s="38">
        <v>2</v>
      </c>
      <c r="R38" s="38">
        <v>2</v>
      </c>
      <c r="S38" s="40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  <c r="AC38" s="41">
        <v>0</v>
      </c>
      <c r="AD38" s="41">
        <v>0</v>
      </c>
      <c r="AE38" s="41">
        <v>0</v>
      </c>
    </row>
    <row r="39" spans="1:31">
      <c r="A39" s="37"/>
      <c r="B39" s="37"/>
      <c r="C39" s="39" t="s">
        <v>135</v>
      </c>
      <c r="D39" s="38" t="s">
        <v>64</v>
      </c>
      <c r="E39" s="38">
        <v>2</v>
      </c>
      <c r="F39" s="38">
        <v>2</v>
      </c>
      <c r="G39" s="38">
        <v>2</v>
      </c>
      <c r="H39" s="38">
        <v>2</v>
      </c>
      <c r="I39" s="38">
        <v>2</v>
      </c>
      <c r="J39" s="38">
        <v>2</v>
      </c>
      <c r="K39" s="38">
        <v>2</v>
      </c>
      <c r="L39" s="38">
        <v>2</v>
      </c>
      <c r="M39" s="38">
        <v>2</v>
      </c>
      <c r="N39" s="38">
        <v>2</v>
      </c>
      <c r="O39" s="38">
        <v>2</v>
      </c>
      <c r="P39" s="38">
        <v>2</v>
      </c>
      <c r="Q39" s="38">
        <v>2</v>
      </c>
      <c r="R39" s="38">
        <v>2</v>
      </c>
      <c r="S39" s="38">
        <v>2</v>
      </c>
      <c r="T39" s="38">
        <v>2</v>
      </c>
      <c r="U39" s="40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0</v>
      </c>
      <c r="AE39" s="41">
        <v>0</v>
      </c>
    </row>
    <row r="40" spans="1:31">
      <c r="A40" s="37"/>
      <c r="B40" s="37"/>
      <c r="C40" s="39" t="s">
        <v>136</v>
      </c>
      <c r="D40" s="38" t="s">
        <v>66</v>
      </c>
      <c r="E40" s="38">
        <v>2</v>
      </c>
      <c r="F40" s="38">
        <v>2</v>
      </c>
      <c r="G40" s="38">
        <v>2</v>
      </c>
      <c r="H40" s="38">
        <v>2</v>
      </c>
      <c r="I40" s="38">
        <v>2</v>
      </c>
      <c r="J40" s="38">
        <v>2</v>
      </c>
      <c r="K40" s="38">
        <v>2</v>
      </c>
      <c r="L40" s="38">
        <v>2</v>
      </c>
      <c r="M40" s="38">
        <v>2</v>
      </c>
      <c r="N40" s="38">
        <v>2</v>
      </c>
      <c r="O40" s="38">
        <v>2</v>
      </c>
      <c r="P40" s="38">
        <v>2</v>
      </c>
      <c r="Q40" s="38">
        <v>2</v>
      </c>
      <c r="R40" s="38">
        <v>2</v>
      </c>
      <c r="S40" s="38">
        <v>2</v>
      </c>
      <c r="T40" s="38">
        <v>2</v>
      </c>
      <c r="U40" s="40">
        <v>0</v>
      </c>
      <c r="V40" s="41">
        <v>0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</row>
    <row r="41" spans="1:31">
      <c r="A41" s="37"/>
      <c r="B41" s="37"/>
      <c r="C41" s="39" t="s">
        <v>137</v>
      </c>
      <c r="D41" s="38" t="s">
        <v>64</v>
      </c>
      <c r="E41" s="38">
        <v>2</v>
      </c>
      <c r="F41" s="38">
        <v>2</v>
      </c>
      <c r="G41" s="38">
        <v>2</v>
      </c>
      <c r="H41" s="38">
        <v>2</v>
      </c>
      <c r="I41" s="38">
        <v>2</v>
      </c>
      <c r="J41" s="38">
        <v>2</v>
      </c>
      <c r="K41" s="38">
        <v>2</v>
      </c>
      <c r="L41" s="38">
        <v>2</v>
      </c>
      <c r="M41" s="38">
        <v>2</v>
      </c>
      <c r="N41" s="38">
        <v>2</v>
      </c>
      <c r="O41" s="38">
        <v>2</v>
      </c>
      <c r="P41" s="38">
        <v>2</v>
      </c>
      <c r="Q41" s="38">
        <v>2</v>
      </c>
      <c r="R41" s="38">
        <v>2</v>
      </c>
      <c r="S41" s="38">
        <v>2</v>
      </c>
      <c r="T41" s="38">
        <v>2</v>
      </c>
      <c r="U41" s="38">
        <v>2</v>
      </c>
      <c r="V41" s="38">
        <v>2</v>
      </c>
      <c r="W41" s="40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</row>
    <row r="42" spans="1:31">
      <c r="A42" s="37"/>
      <c r="B42" s="37"/>
      <c r="C42" s="39" t="s">
        <v>138</v>
      </c>
      <c r="D42" s="38" t="s">
        <v>66</v>
      </c>
      <c r="E42" s="38">
        <v>2</v>
      </c>
      <c r="F42" s="38">
        <v>2</v>
      </c>
      <c r="G42" s="38">
        <v>2</v>
      </c>
      <c r="H42" s="38">
        <v>2</v>
      </c>
      <c r="I42" s="38">
        <v>2</v>
      </c>
      <c r="J42" s="38">
        <v>2</v>
      </c>
      <c r="K42" s="38">
        <v>2</v>
      </c>
      <c r="L42" s="38">
        <v>2</v>
      </c>
      <c r="M42" s="38">
        <v>2</v>
      </c>
      <c r="N42" s="38">
        <v>2</v>
      </c>
      <c r="O42" s="38">
        <v>2</v>
      </c>
      <c r="P42" s="38">
        <v>2</v>
      </c>
      <c r="Q42" s="38">
        <v>2</v>
      </c>
      <c r="R42" s="38">
        <v>2</v>
      </c>
      <c r="S42" s="38">
        <v>2</v>
      </c>
      <c r="T42" s="38">
        <v>2</v>
      </c>
      <c r="U42" s="38">
        <v>2</v>
      </c>
      <c r="V42" s="38">
        <v>2</v>
      </c>
      <c r="W42" s="40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</row>
    <row r="43" spans="1:31">
      <c r="A43" s="37"/>
      <c r="B43" s="37"/>
      <c r="C43" s="39" t="s">
        <v>139</v>
      </c>
      <c r="D43" s="38" t="s">
        <v>64</v>
      </c>
      <c r="E43" s="38">
        <v>3</v>
      </c>
      <c r="F43" s="38">
        <v>2</v>
      </c>
      <c r="G43" s="38">
        <v>2</v>
      </c>
      <c r="H43" s="38">
        <v>2</v>
      </c>
      <c r="I43" s="38">
        <v>2</v>
      </c>
      <c r="J43" s="38">
        <v>2</v>
      </c>
      <c r="K43" s="38">
        <v>2</v>
      </c>
      <c r="L43" s="38">
        <v>2</v>
      </c>
      <c r="M43" s="38">
        <v>2</v>
      </c>
      <c r="N43" s="38">
        <v>2</v>
      </c>
      <c r="O43" s="38">
        <v>2</v>
      </c>
      <c r="P43" s="38">
        <v>2</v>
      </c>
      <c r="Q43" s="38">
        <v>2</v>
      </c>
      <c r="R43" s="38">
        <v>2</v>
      </c>
      <c r="S43" s="38">
        <v>2</v>
      </c>
      <c r="T43" s="38">
        <v>2</v>
      </c>
      <c r="U43" s="38">
        <v>2</v>
      </c>
      <c r="V43" s="38">
        <v>2</v>
      </c>
      <c r="W43" s="41">
        <v>2</v>
      </c>
      <c r="X43" s="43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</row>
    <row r="44" spans="1:31">
      <c r="A44" s="37"/>
      <c r="B44" s="37"/>
      <c r="C44" s="44"/>
      <c r="D44" s="44"/>
      <c r="E44" s="44"/>
      <c r="F44" s="44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6"/>
      <c r="X44" s="47">
        <v>1</v>
      </c>
      <c r="Y44" s="41"/>
      <c r="Z44" s="41"/>
      <c r="AA44" s="41"/>
      <c r="AB44" s="41"/>
      <c r="AC44" s="41"/>
      <c r="AD44" s="41"/>
      <c r="AE44" s="41"/>
    </row>
    <row r="45" spans="1:31">
      <c r="A45" s="37"/>
      <c r="B45" s="38"/>
      <c r="C45" s="39" t="s">
        <v>140</v>
      </c>
      <c r="D45" s="38" t="s">
        <v>66</v>
      </c>
      <c r="E45" s="38">
        <v>2</v>
      </c>
      <c r="F45" s="38">
        <v>2</v>
      </c>
      <c r="G45" s="38">
        <v>2</v>
      </c>
      <c r="H45" s="38">
        <v>2</v>
      </c>
      <c r="I45" s="38">
        <v>2</v>
      </c>
      <c r="J45" s="38">
        <v>2</v>
      </c>
      <c r="K45" s="38">
        <v>2</v>
      </c>
      <c r="L45" s="38">
        <v>2</v>
      </c>
      <c r="M45" s="38">
        <v>2</v>
      </c>
      <c r="N45" s="38">
        <v>2</v>
      </c>
      <c r="O45" s="38">
        <v>2</v>
      </c>
      <c r="P45" s="38">
        <v>2</v>
      </c>
      <c r="Q45" s="38">
        <v>2</v>
      </c>
      <c r="R45" s="38">
        <v>2</v>
      </c>
      <c r="S45" s="38">
        <v>2</v>
      </c>
      <c r="T45" s="38">
        <v>2</v>
      </c>
      <c r="U45" s="38">
        <v>2</v>
      </c>
      <c r="V45" s="38">
        <v>2</v>
      </c>
      <c r="W45" s="38">
        <v>2</v>
      </c>
      <c r="X45" s="38">
        <v>2</v>
      </c>
      <c r="Y45" s="43">
        <v>0</v>
      </c>
      <c r="Z45" s="41">
        <v>0</v>
      </c>
      <c r="AA45" s="41">
        <v>0</v>
      </c>
      <c r="AB45" s="41">
        <v>0</v>
      </c>
      <c r="AC45" s="41">
        <v>0</v>
      </c>
      <c r="AD45" s="41">
        <v>0</v>
      </c>
      <c r="AE45" s="41">
        <v>0</v>
      </c>
    </row>
    <row r="46" spans="1:31">
      <c r="A46" s="37"/>
      <c r="B46" s="38" t="s">
        <v>73</v>
      </c>
      <c r="C46" s="39" t="s">
        <v>141</v>
      </c>
      <c r="D46" s="38" t="s">
        <v>42</v>
      </c>
      <c r="E46" s="38">
        <v>1</v>
      </c>
      <c r="F46" s="38">
        <v>1</v>
      </c>
      <c r="G46" s="41">
        <v>1</v>
      </c>
      <c r="H46" s="41">
        <v>1</v>
      </c>
      <c r="I46" s="41">
        <v>1</v>
      </c>
      <c r="J46" s="41">
        <v>1</v>
      </c>
      <c r="K46" s="41">
        <v>1</v>
      </c>
      <c r="L46" s="41">
        <v>1</v>
      </c>
      <c r="M46" s="41">
        <v>1</v>
      </c>
      <c r="N46" s="41">
        <v>1</v>
      </c>
      <c r="O46" s="41">
        <v>1</v>
      </c>
      <c r="P46" s="41">
        <v>1</v>
      </c>
      <c r="Q46" s="41">
        <v>1</v>
      </c>
      <c r="R46" s="41">
        <v>1</v>
      </c>
      <c r="S46" s="41">
        <v>1</v>
      </c>
      <c r="T46" s="41">
        <v>1</v>
      </c>
      <c r="U46" s="41">
        <v>1</v>
      </c>
      <c r="V46" s="41">
        <v>1</v>
      </c>
      <c r="W46" s="41">
        <v>1</v>
      </c>
      <c r="X46" s="41">
        <v>1</v>
      </c>
      <c r="Y46" s="43">
        <v>0</v>
      </c>
      <c r="Z46" s="41">
        <v>0</v>
      </c>
      <c r="AA46" s="41">
        <v>0</v>
      </c>
      <c r="AB46" s="41">
        <v>0</v>
      </c>
      <c r="AC46" s="41">
        <v>0</v>
      </c>
      <c r="AD46" s="41">
        <v>0</v>
      </c>
      <c r="AE46" s="41">
        <v>0</v>
      </c>
    </row>
    <row r="47" spans="1:31">
      <c r="A47" s="37"/>
      <c r="B47" s="37"/>
      <c r="C47" s="39" t="s">
        <v>142</v>
      </c>
      <c r="D47" s="38" t="s">
        <v>64</v>
      </c>
      <c r="E47" s="38">
        <v>1</v>
      </c>
      <c r="F47" s="38">
        <v>1</v>
      </c>
      <c r="G47" s="41">
        <v>1</v>
      </c>
      <c r="H47" s="41">
        <v>1</v>
      </c>
      <c r="I47" s="41">
        <v>1</v>
      </c>
      <c r="J47" s="41">
        <v>1</v>
      </c>
      <c r="K47" s="41">
        <v>1</v>
      </c>
      <c r="L47" s="41">
        <v>1</v>
      </c>
      <c r="M47" s="41">
        <v>1</v>
      </c>
      <c r="N47" s="41">
        <v>1</v>
      </c>
      <c r="O47" s="41">
        <v>1</v>
      </c>
      <c r="P47" s="41">
        <v>1</v>
      </c>
      <c r="Q47" s="41">
        <v>1</v>
      </c>
      <c r="R47" s="41">
        <v>1</v>
      </c>
      <c r="S47" s="41">
        <v>1</v>
      </c>
      <c r="T47" s="41">
        <v>1</v>
      </c>
      <c r="U47" s="41">
        <v>1</v>
      </c>
      <c r="V47" s="41">
        <v>1</v>
      </c>
      <c r="W47" s="41">
        <v>1</v>
      </c>
      <c r="X47" s="41">
        <v>1</v>
      </c>
      <c r="Y47" s="43">
        <v>0</v>
      </c>
      <c r="Z47" s="41">
        <v>0</v>
      </c>
      <c r="AA47" s="41">
        <v>0</v>
      </c>
      <c r="AB47" s="41">
        <v>0</v>
      </c>
      <c r="AC47" s="41">
        <v>0</v>
      </c>
      <c r="AD47" s="41">
        <v>0</v>
      </c>
      <c r="AE47" s="41">
        <v>0</v>
      </c>
    </row>
    <row r="48" spans="1:31">
      <c r="A48" s="37"/>
      <c r="B48" s="37"/>
      <c r="C48" s="44"/>
      <c r="D48" s="44"/>
      <c r="E48" s="44"/>
      <c r="F48" s="44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8"/>
      <c r="Z48" s="41"/>
      <c r="AA48" s="41"/>
      <c r="AB48" s="41"/>
      <c r="AC48" s="41"/>
      <c r="AD48" s="41"/>
      <c r="AE48" s="41"/>
    </row>
    <row r="49" spans="1:31">
      <c r="A49" s="37"/>
      <c r="B49" s="37"/>
      <c r="C49" s="39" t="s">
        <v>143</v>
      </c>
      <c r="D49" s="38" t="s">
        <v>44</v>
      </c>
      <c r="E49" s="38">
        <v>1</v>
      </c>
      <c r="F49" s="38">
        <v>1</v>
      </c>
      <c r="G49" s="41">
        <v>1</v>
      </c>
      <c r="H49" s="41">
        <v>1</v>
      </c>
      <c r="I49" s="41">
        <v>1</v>
      </c>
      <c r="J49" s="41">
        <v>1</v>
      </c>
      <c r="K49" s="41">
        <v>1</v>
      </c>
      <c r="L49" s="41">
        <v>1</v>
      </c>
      <c r="M49" s="41">
        <v>1</v>
      </c>
      <c r="N49" s="41">
        <v>1</v>
      </c>
      <c r="O49" s="41">
        <v>1</v>
      </c>
      <c r="P49" s="41">
        <v>1</v>
      </c>
      <c r="Q49" s="41">
        <v>1</v>
      </c>
      <c r="R49" s="41">
        <v>1</v>
      </c>
      <c r="S49" s="41">
        <v>1</v>
      </c>
      <c r="T49" s="41">
        <v>1</v>
      </c>
      <c r="U49" s="41">
        <v>1</v>
      </c>
      <c r="V49" s="41">
        <v>1</v>
      </c>
      <c r="W49" s="41">
        <v>1</v>
      </c>
      <c r="X49" s="41">
        <v>1</v>
      </c>
      <c r="Y49" s="40">
        <v>0</v>
      </c>
      <c r="Z49" s="41">
        <v>0</v>
      </c>
      <c r="AA49" s="41">
        <v>0</v>
      </c>
      <c r="AB49" s="41">
        <v>0</v>
      </c>
      <c r="AC49" s="41">
        <v>0</v>
      </c>
      <c r="AD49" s="41">
        <v>0</v>
      </c>
      <c r="AE49" s="41">
        <v>0</v>
      </c>
    </row>
    <row r="50" spans="1:31">
      <c r="A50" s="37"/>
      <c r="B50" s="37"/>
      <c r="C50" s="39" t="s">
        <v>144</v>
      </c>
      <c r="D50" s="38" t="s">
        <v>66</v>
      </c>
      <c r="E50" s="38">
        <v>1</v>
      </c>
      <c r="F50" s="38">
        <v>1</v>
      </c>
      <c r="G50" s="41">
        <v>1</v>
      </c>
      <c r="H50" s="41">
        <v>1</v>
      </c>
      <c r="I50" s="41">
        <v>1</v>
      </c>
      <c r="J50" s="41">
        <v>1</v>
      </c>
      <c r="K50" s="41">
        <v>1</v>
      </c>
      <c r="L50" s="41">
        <v>1</v>
      </c>
      <c r="M50" s="41">
        <v>1</v>
      </c>
      <c r="N50" s="41">
        <v>1</v>
      </c>
      <c r="O50" s="41">
        <v>1</v>
      </c>
      <c r="P50" s="41">
        <v>1</v>
      </c>
      <c r="Q50" s="41">
        <v>1</v>
      </c>
      <c r="R50" s="41">
        <v>1</v>
      </c>
      <c r="S50" s="41">
        <v>1</v>
      </c>
      <c r="T50" s="41">
        <v>1</v>
      </c>
      <c r="U50" s="41">
        <v>1</v>
      </c>
      <c r="V50" s="41">
        <v>1</v>
      </c>
      <c r="W50" s="41">
        <v>1</v>
      </c>
      <c r="X50" s="41">
        <v>1</v>
      </c>
      <c r="Y50" s="40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</row>
    <row r="51" spans="1:31">
      <c r="A51" s="37"/>
      <c r="B51" s="37"/>
      <c r="C51" s="39" t="s">
        <v>145</v>
      </c>
      <c r="D51" s="38" t="s">
        <v>42</v>
      </c>
      <c r="E51" s="38">
        <v>1</v>
      </c>
      <c r="F51" s="38">
        <v>1</v>
      </c>
      <c r="G51" s="41">
        <v>1</v>
      </c>
      <c r="H51" s="41">
        <v>1</v>
      </c>
      <c r="I51" s="41">
        <v>1</v>
      </c>
      <c r="J51" s="41">
        <v>1</v>
      </c>
      <c r="K51" s="41">
        <v>1</v>
      </c>
      <c r="L51" s="41">
        <v>1</v>
      </c>
      <c r="M51" s="41">
        <v>1</v>
      </c>
      <c r="N51" s="41">
        <v>1</v>
      </c>
      <c r="O51" s="41">
        <v>1</v>
      </c>
      <c r="P51" s="41">
        <v>1</v>
      </c>
      <c r="Q51" s="41">
        <v>1</v>
      </c>
      <c r="R51" s="41">
        <v>1</v>
      </c>
      <c r="S51" s="41">
        <v>1</v>
      </c>
      <c r="T51" s="41">
        <v>1</v>
      </c>
      <c r="U51" s="41">
        <v>1</v>
      </c>
      <c r="V51" s="41">
        <v>1</v>
      </c>
      <c r="W51" s="41">
        <v>1</v>
      </c>
      <c r="X51" s="41">
        <v>1</v>
      </c>
      <c r="Y51" s="40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</row>
    <row r="52" spans="1:31">
      <c r="A52" s="37"/>
      <c r="B52" s="37"/>
      <c r="C52" s="39" t="s">
        <v>146</v>
      </c>
      <c r="D52" s="38" t="s">
        <v>64</v>
      </c>
      <c r="E52" s="38">
        <v>1</v>
      </c>
      <c r="F52" s="38">
        <v>1</v>
      </c>
      <c r="G52" s="41">
        <v>1</v>
      </c>
      <c r="H52" s="41">
        <v>1</v>
      </c>
      <c r="I52" s="41">
        <v>1</v>
      </c>
      <c r="J52" s="41">
        <v>1</v>
      </c>
      <c r="K52" s="41">
        <v>1</v>
      </c>
      <c r="L52" s="41">
        <v>1</v>
      </c>
      <c r="M52" s="41">
        <v>1</v>
      </c>
      <c r="N52" s="41">
        <v>1</v>
      </c>
      <c r="O52" s="41">
        <v>1</v>
      </c>
      <c r="P52" s="41">
        <v>1</v>
      </c>
      <c r="Q52" s="41">
        <v>1</v>
      </c>
      <c r="R52" s="41">
        <v>1</v>
      </c>
      <c r="S52" s="41">
        <v>1</v>
      </c>
      <c r="T52" s="41">
        <v>1</v>
      </c>
      <c r="U52" s="41">
        <v>1</v>
      </c>
      <c r="V52" s="41">
        <v>1</v>
      </c>
      <c r="W52" s="41">
        <v>1</v>
      </c>
      <c r="X52" s="41">
        <v>1</v>
      </c>
      <c r="Y52" s="41">
        <v>1</v>
      </c>
      <c r="Z52" s="40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</row>
    <row r="53" spans="1:31">
      <c r="A53" s="37"/>
      <c r="B53" s="37"/>
      <c r="C53" s="39" t="s">
        <v>147</v>
      </c>
      <c r="D53" s="38" t="s">
        <v>44</v>
      </c>
      <c r="E53" s="38">
        <v>1</v>
      </c>
      <c r="F53" s="38">
        <v>1</v>
      </c>
      <c r="G53" s="41">
        <v>1</v>
      </c>
      <c r="H53" s="41">
        <v>1</v>
      </c>
      <c r="I53" s="41">
        <v>1</v>
      </c>
      <c r="J53" s="41">
        <v>1</v>
      </c>
      <c r="K53" s="41">
        <v>1</v>
      </c>
      <c r="L53" s="41">
        <v>1</v>
      </c>
      <c r="M53" s="41">
        <v>1</v>
      </c>
      <c r="N53" s="41">
        <v>1</v>
      </c>
      <c r="O53" s="41">
        <v>1</v>
      </c>
      <c r="P53" s="41">
        <v>1</v>
      </c>
      <c r="Q53" s="41">
        <v>1</v>
      </c>
      <c r="R53" s="41">
        <v>1</v>
      </c>
      <c r="S53" s="41">
        <v>1</v>
      </c>
      <c r="T53" s="41">
        <v>1</v>
      </c>
      <c r="U53" s="41">
        <v>1</v>
      </c>
      <c r="V53" s="41">
        <v>1</v>
      </c>
      <c r="W53" s="41">
        <v>1</v>
      </c>
      <c r="X53" s="41">
        <v>1</v>
      </c>
      <c r="Y53" s="41">
        <v>1</v>
      </c>
      <c r="Z53" s="40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</row>
    <row r="54" spans="1:31">
      <c r="A54" s="37"/>
      <c r="B54" s="37"/>
      <c r="C54" s="39" t="s">
        <v>148</v>
      </c>
      <c r="D54" s="38" t="s">
        <v>66</v>
      </c>
      <c r="E54" s="38">
        <v>1</v>
      </c>
      <c r="F54" s="38">
        <v>1</v>
      </c>
      <c r="G54" s="41">
        <v>1</v>
      </c>
      <c r="H54" s="41">
        <v>1</v>
      </c>
      <c r="I54" s="41">
        <v>1</v>
      </c>
      <c r="J54" s="41">
        <v>1</v>
      </c>
      <c r="K54" s="41">
        <v>1</v>
      </c>
      <c r="L54" s="41">
        <v>1</v>
      </c>
      <c r="M54" s="41">
        <v>1</v>
      </c>
      <c r="N54" s="41">
        <v>1</v>
      </c>
      <c r="O54" s="41">
        <v>1</v>
      </c>
      <c r="P54" s="41">
        <v>1</v>
      </c>
      <c r="Q54" s="41">
        <v>1</v>
      </c>
      <c r="R54" s="41">
        <v>1</v>
      </c>
      <c r="S54" s="41">
        <v>1</v>
      </c>
      <c r="T54" s="41">
        <v>1</v>
      </c>
      <c r="U54" s="41">
        <v>1</v>
      </c>
      <c r="V54" s="41">
        <v>1</v>
      </c>
      <c r="W54" s="41">
        <v>1</v>
      </c>
      <c r="X54" s="41">
        <v>1</v>
      </c>
      <c r="Y54" s="41">
        <v>1</v>
      </c>
      <c r="Z54" s="40">
        <v>0</v>
      </c>
      <c r="AA54" s="41">
        <v>0</v>
      </c>
      <c r="AB54" s="41">
        <v>0</v>
      </c>
      <c r="AC54" s="41">
        <v>0</v>
      </c>
      <c r="AD54" s="41">
        <v>0</v>
      </c>
      <c r="AE54" s="41">
        <v>0</v>
      </c>
    </row>
    <row r="55" spans="1:31">
      <c r="A55" s="37"/>
      <c r="B55" s="37"/>
      <c r="C55" s="39" t="s">
        <v>149</v>
      </c>
      <c r="D55" s="38" t="s">
        <v>42</v>
      </c>
      <c r="E55" s="38">
        <v>1</v>
      </c>
      <c r="F55" s="38">
        <v>1</v>
      </c>
      <c r="G55" s="41">
        <v>1</v>
      </c>
      <c r="H55" s="41">
        <v>1</v>
      </c>
      <c r="I55" s="41">
        <v>1</v>
      </c>
      <c r="J55" s="41">
        <v>1</v>
      </c>
      <c r="K55" s="41">
        <v>1</v>
      </c>
      <c r="L55" s="41">
        <v>1</v>
      </c>
      <c r="M55" s="41">
        <v>1</v>
      </c>
      <c r="N55" s="41">
        <v>1</v>
      </c>
      <c r="O55" s="41">
        <v>1</v>
      </c>
      <c r="P55" s="41">
        <v>1</v>
      </c>
      <c r="Q55" s="41">
        <v>1</v>
      </c>
      <c r="R55" s="41">
        <v>1</v>
      </c>
      <c r="S55" s="41">
        <v>1</v>
      </c>
      <c r="T55" s="41">
        <v>1</v>
      </c>
      <c r="U55" s="41">
        <v>1</v>
      </c>
      <c r="V55" s="41">
        <v>1</v>
      </c>
      <c r="W55" s="41">
        <v>1</v>
      </c>
      <c r="X55" s="41">
        <v>1</v>
      </c>
      <c r="Y55" s="41">
        <v>1</v>
      </c>
      <c r="Z55" s="40">
        <v>0</v>
      </c>
      <c r="AA55" s="41">
        <v>0</v>
      </c>
      <c r="AB55" s="41">
        <v>0</v>
      </c>
      <c r="AC55" s="41">
        <v>0</v>
      </c>
      <c r="AD55" s="41">
        <v>0</v>
      </c>
      <c r="AE55" s="41">
        <v>0</v>
      </c>
    </row>
    <row r="56" spans="1:31">
      <c r="A56" s="37"/>
      <c r="B56" s="37"/>
      <c r="C56" s="39" t="s">
        <v>150</v>
      </c>
      <c r="D56" s="38" t="s">
        <v>64</v>
      </c>
      <c r="E56" s="38">
        <v>1</v>
      </c>
      <c r="F56" s="38">
        <v>1</v>
      </c>
      <c r="G56" s="41">
        <v>1</v>
      </c>
      <c r="H56" s="41">
        <v>1</v>
      </c>
      <c r="I56" s="41">
        <v>1</v>
      </c>
      <c r="J56" s="41">
        <v>1</v>
      </c>
      <c r="K56" s="41">
        <v>1</v>
      </c>
      <c r="L56" s="41">
        <v>1</v>
      </c>
      <c r="M56" s="41">
        <v>1</v>
      </c>
      <c r="N56" s="41">
        <v>1</v>
      </c>
      <c r="O56" s="41">
        <v>1</v>
      </c>
      <c r="P56" s="41">
        <v>1</v>
      </c>
      <c r="Q56" s="41">
        <v>1</v>
      </c>
      <c r="R56" s="41">
        <v>1</v>
      </c>
      <c r="S56" s="41">
        <v>1</v>
      </c>
      <c r="T56" s="41">
        <v>1</v>
      </c>
      <c r="U56" s="41">
        <v>1</v>
      </c>
      <c r="V56" s="41">
        <v>1</v>
      </c>
      <c r="W56" s="41">
        <v>1</v>
      </c>
      <c r="X56" s="41">
        <v>1</v>
      </c>
      <c r="Y56" s="41">
        <v>1</v>
      </c>
      <c r="Z56" s="41">
        <v>1</v>
      </c>
      <c r="AA56" s="40">
        <v>0</v>
      </c>
      <c r="AB56" s="41">
        <v>0</v>
      </c>
      <c r="AC56" s="41">
        <v>0</v>
      </c>
      <c r="AD56" s="41">
        <v>0</v>
      </c>
      <c r="AE56" s="41">
        <v>0</v>
      </c>
    </row>
    <row r="57" spans="1:31">
      <c r="A57" s="37"/>
      <c r="B57" s="37"/>
      <c r="C57" s="39" t="s">
        <v>151</v>
      </c>
      <c r="D57" s="38" t="s">
        <v>44</v>
      </c>
      <c r="E57" s="38">
        <v>1</v>
      </c>
      <c r="F57" s="38">
        <v>1</v>
      </c>
      <c r="G57" s="41">
        <v>1</v>
      </c>
      <c r="H57" s="41">
        <v>1</v>
      </c>
      <c r="I57" s="41">
        <v>1</v>
      </c>
      <c r="J57" s="41">
        <v>1</v>
      </c>
      <c r="K57" s="41">
        <v>1</v>
      </c>
      <c r="L57" s="41">
        <v>1</v>
      </c>
      <c r="M57" s="41">
        <v>1</v>
      </c>
      <c r="N57" s="41">
        <v>1</v>
      </c>
      <c r="O57" s="41">
        <v>1</v>
      </c>
      <c r="P57" s="41">
        <v>1</v>
      </c>
      <c r="Q57" s="41">
        <v>1</v>
      </c>
      <c r="R57" s="41">
        <v>1</v>
      </c>
      <c r="S57" s="41">
        <v>1</v>
      </c>
      <c r="T57" s="41">
        <v>1</v>
      </c>
      <c r="U57" s="41">
        <v>1</v>
      </c>
      <c r="V57" s="41">
        <v>1</v>
      </c>
      <c r="W57" s="41">
        <v>1</v>
      </c>
      <c r="X57" s="41">
        <v>1</v>
      </c>
      <c r="Y57" s="41">
        <v>1</v>
      </c>
      <c r="Z57" s="41">
        <v>1</v>
      </c>
      <c r="AA57" s="40">
        <v>0</v>
      </c>
      <c r="AB57" s="41">
        <v>0</v>
      </c>
      <c r="AC57" s="41">
        <v>0</v>
      </c>
      <c r="AD57" s="41">
        <v>0</v>
      </c>
      <c r="AE57" s="41">
        <v>0</v>
      </c>
    </row>
    <row r="58" spans="1:31">
      <c r="A58" s="37"/>
      <c r="B58" s="37"/>
      <c r="C58" s="39" t="s">
        <v>152</v>
      </c>
      <c r="D58" s="38" t="s">
        <v>66</v>
      </c>
      <c r="E58" s="38">
        <v>1</v>
      </c>
      <c r="F58" s="38">
        <v>1</v>
      </c>
      <c r="G58" s="41">
        <v>1</v>
      </c>
      <c r="H58" s="41">
        <v>1</v>
      </c>
      <c r="I58" s="41">
        <v>1</v>
      </c>
      <c r="J58" s="41">
        <v>1</v>
      </c>
      <c r="K58" s="41">
        <v>1</v>
      </c>
      <c r="L58" s="41">
        <v>1</v>
      </c>
      <c r="M58" s="41">
        <v>1</v>
      </c>
      <c r="N58" s="41">
        <v>1</v>
      </c>
      <c r="O58" s="41">
        <v>1</v>
      </c>
      <c r="P58" s="41">
        <v>1</v>
      </c>
      <c r="Q58" s="41">
        <v>1</v>
      </c>
      <c r="R58" s="41">
        <v>1</v>
      </c>
      <c r="S58" s="41">
        <v>1</v>
      </c>
      <c r="T58" s="41">
        <v>1</v>
      </c>
      <c r="U58" s="41">
        <v>1</v>
      </c>
      <c r="V58" s="41">
        <v>1</v>
      </c>
      <c r="W58" s="41">
        <v>1</v>
      </c>
      <c r="X58" s="41">
        <v>1</v>
      </c>
      <c r="Y58" s="41">
        <v>1</v>
      </c>
      <c r="Z58" s="41">
        <v>1</v>
      </c>
      <c r="AA58" s="40">
        <v>0</v>
      </c>
      <c r="AB58" s="41">
        <v>0</v>
      </c>
      <c r="AC58" s="41">
        <v>0</v>
      </c>
      <c r="AD58" s="41">
        <v>0</v>
      </c>
      <c r="AE58" s="41">
        <v>0</v>
      </c>
    </row>
    <row r="59" spans="1:31">
      <c r="A59" s="37"/>
      <c r="B59" s="37"/>
      <c r="C59" s="39" t="s">
        <v>153</v>
      </c>
      <c r="D59" s="38" t="s">
        <v>42</v>
      </c>
      <c r="E59" s="38">
        <v>1</v>
      </c>
      <c r="F59" s="38">
        <v>1</v>
      </c>
      <c r="G59" s="41">
        <v>1</v>
      </c>
      <c r="H59" s="41">
        <v>1</v>
      </c>
      <c r="I59" s="41">
        <v>1</v>
      </c>
      <c r="J59" s="41">
        <v>1</v>
      </c>
      <c r="K59" s="41">
        <v>1</v>
      </c>
      <c r="L59" s="41">
        <v>1</v>
      </c>
      <c r="M59" s="41">
        <v>1</v>
      </c>
      <c r="N59" s="41">
        <v>1</v>
      </c>
      <c r="O59" s="41">
        <v>1</v>
      </c>
      <c r="P59" s="41">
        <v>1</v>
      </c>
      <c r="Q59" s="41">
        <v>1</v>
      </c>
      <c r="R59" s="41">
        <v>1</v>
      </c>
      <c r="S59" s="41">
        <v>1</v>
      </c>
      <c r="T59" s="41">
        <v>1</v>
      </c>
      <c r="U59" s="41">
        <v>1</v>
      </c>
      <c r="V59" s="41">
        <v>1</v>
      </c>
      <c r="W59" s="41">
        <v>1</v>
      </c>
      <c r="X59" s="41">
        <v>1</v>
      </c>
      <c r="Y59" s="41">
        <v>1</v>
      </c>
      <c r="Z59" s="41">
        <v>1</v>
      </c>
      <c r="AA59" s="40">
        <v>0</v>
      </c>
      <c r="AB59" s="41">
        <v>0</v>
      </c>
      <c r="AC59" s="41">
        <v>0</v>
      </c>
      <c r="AD59" s="41">
        <v>0</v>
      </c>
      <c r="AE59" s="41">
        <v>0</v>
      </c>
    </row>
    <row r="60" spans="1:31">
      <c r="A60" s="37"/>
      <c r="B60" s="37"/>
      <c r="C60" s="39" t="s">
        <v>154</v>
      </c>
      <c r="D60" s="38" t="s">
        <v>64</v>
      </c>
      <c r="E60" s="38">
        <v>1</v>
      </c>
      <c r="F60" s="38">
        <v>1</v>
      </c>
      <c r="G60" s="41">
        <v>1</v>
      </c>
      <c r="H60" s="41">
        <v>1</v>
      </c>
      <c r="I60" s="41">
        <v>1</v>
      </c>
      <c r="J60" s="41">
        <v>1</v>
      </c>
      <c r="K60" s="41">
        <v>1</v>
      </c>
      <c r="L60" s="41">
        <v>1</v>
      </c>
      <c r="M60" s="41">
        <v>1</v>
      </c>
      <c r="N60" s="41">
        <v>1</v>
      </c>
      <c r="O60" s="41">
        <v>1</v>
      </c>
      <c r="P60" s="41">
        <v>1</v>
      </c>
      <c r="Q60" s="41">
        <v>1</v>
      </c>
      <c r="R60" s="41">
        <v>1</v>
      </c>
      <c r="S60" s="41">
        <v>1</v>
      </c>
      <c r="T60" s="41">
        <v>1</v>
      </c>
      <c r="U60" s="41">
        <v>1</v>
      </c>
      <c r="V60" s="41">
        <v>1</v>
      </c>
      <c r="W60" s="41">
        <v>1</v>
      </c>
      <c r="X60" s="41">
        <v>1</v>
      </c>
      <c r="Y60" s="41">
        <v>1</v>
      </c>
      <c r="Z60" s="41">
        <v>1</v>
      </c>
      <c r="AA60" s="41">
        <v>1</v>
      </c>
      <c r="AB60" s="41">
        <v>1</v>
      </c>
      <c r="AC60" s="40">
        <v>0</v>
      </c>
      <c r="AD60" s="41">
        <v>0</v>
      </c>
      <c r="AE60" s="41">
        <v>0</v>
      </c>
    </row>
    <row r="61" spans="1:31">
      <c r="A61" s="37"/>
      <c r="B61" s="37"/>
      <c r="C61" s="39" t="s">
        <v>155</v>
      </c>
      <c r="D61" s="38" t="s">
        <v>44</v>
      </c>
      <c r="E61" s="38">
        <v>2</v>
      </c>
      <c r="F61" s="38">
        <v>1</v>
      </c>
      <c r="G61" s="41">
        <v>1</v>
      </c>
      <c r="H61" s="41">
        <v>1</v>
      </c>
      <c r="I61" s="41">
        <v>1</v>
      </c>
      <c r="J61" s="41">
        <v>1</v>
      </c>
      <c r="K61" s="41">
        <v>1</v>
      </c>
      <c r="L61" s="41">
        <v>1</v>
      </c>
      <c r="M61" s="41">
        <v>1</v>
      </c>
      <c r="N61" s="41">
        <v>1</v>
      </c>
      <c r="O61" s="41">
        <v>1</v>
      </c>
      <c r="P61" s="41">
        <v>1</v>
      </c>
      <c r="Q61" s="41">
        <v>1</v>
      </c>
      <c r="R61" s="41">
        <v>1</v>
      </c>
      <c r="S61" s="41">
        <v>1</v>
      </c>
      <c r="T61" s="41">
        <v>1</v>
      </c>
      <c r="U61" s="41">
        <v>1</v>
      </c>
      <c r="V61" s="41">
        <v>1</v>
      </c>
      <c r="W61" s="41">
        <v>1</v>
      </c>
      <c r="X61" s="41">
        <v>1</v>
      </c>
      <c r="Y61" s="41">
        <v>1</v>
      </c>
      <c r="Z61" s="41">
        <v>1</v>
      </c>
      <c r="AA61" s="41">
        <v>1</v>
      </c>
      <c r="AB61" s="41">
        <v>1</v>
      </c>
      <c r="AC61" s="41">
        <v>1</v>
      </c>
      <c r="AD61" s="43">
        <v>0</v>
      </c>
      <c r="AE61" s="41">
        <v>0</v>
      </c>
    </row>
    <row r="62" spans="1:31">
      <c r="A62" s="37"/>
      <c r="B62" s="37"/>
      <c r="C62" s="44"/>
      <c r="D62" s="44"/>
      <c r="E62" s="44"/>
      <c r="F62" s="44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6"/>
      <c r="AD62" s="47">
        <v>1</v>
      </c>
      <c r="AE62" s="41"/>
    </row>
    <row r="63" spans="1:31">
      <c r="A63" s="37"/>
      <c r="B63" s="37"/>
      <c r="C63" s="39" t="s">
        <v>156</v>
      </c>
      <c r="D63" s="38" t="s">
        <v>66</v>
      </c>
      <c r="E63" s="38">
        <v>1</v>
      </c>
      <c r="F63" s="38">
        <v>1</v>
      </c>
      <c r="G63" s="41">
        <v>1</v>
      </c>
      <c r="H63" s="41">
        <v>1</v>
      </c>
      <c r="I63" s="41">
        <v>1</v>
      </c>
      <c r="J63" s="41">
        <v>1</v>
      </c>
      <c r="K63" s="41">
        <v>1</v>
      </c>
      <c r="L63" s="41">
        <v>1</v>
      </c>
      <c r="M63" s="41">
        <v>1</v>
      </c>
      <c r="N63" s="41">
        <v>1</v>
      </c>
      <c r="O63" s="41">
        <v>1</v>
      </c>
      <c r="P63" s="41">
        <v>1</v>
      </c>
      <c r="Q63" s="41">
        <v>1</v>
      </c>
      <c r="R63" s="41">
        <v>1</v>
      </c>
      <c r="S63" s="41">
        <v>1</v>
      </c>
      <c r="T63" s="41">
        <v>1</v>
      </c>
      <c r="U63" s="41">
        <v>1</v>
      </c>
      <c r="V63" s="41">
        <v>1</v>
      </c>
      <c r="W63" s="41">
        <v>1</v>
      </c>
      <c r="X63" s="41">
        <v>1</v>
      </c>
      <c r="Y63" s="41">
        <v>1</v>
      </c>
      <c r="Z63" s="41">
        <v>1</v>
      </c>
      <c r="AA63" s="41">
        <v>1</v>
      </c>
      <c r="AB63" s="41">
        <v>1</v>
      </c>
      <c r="AC63" s="41">
        <v>1</v>
      </c>
      <c r="AD63" s="43">
        <v>0</v>
      </c>
      <c r="AE63" s="41">
        <v>0</v>
      </c>
    </row>
    <row r="64" spans="1:31">
      <c r="A64" s="37"/>
      <c r="B64" s="38"/>
      <c r="C64" s="39" t="s">
        <v>157</v>
      </c>
      <c r="D64" s="38" t="s">
        <v>35</v>
      </c>
      <c r="E64" s="38">
        <v>2</v>
      </c>
      <c r="F64" s="38">
        <v>2</v>
      </c>
      <c r="G64" s="38">
        <v>2</v>
      </c>
      <c r="H64" s="38">
        <v>2</v>
      </c>
      <c r="I64" s="38">
        <v>2</v>
      </c>
      <c r="J64" s="38">
        <v>2</v>
      </c>
      <c r="K64" s="38">
        <v>2</v>
      </c>
      <c r="L64" s="38">
        <v>2</v>
      </c>
      <c r="M64" s="38">
        <v>2</v>
      </c>
      <c r="N64" s="38">
        <v>2</v>
      </c>
      <c r="O64" s="38">
        <v>2</v>
      </c>
      <c r="P64" s="38">
        <v>2</v>
      </c>
      <c r="Q64" s="38">
        <v>2</v>
      </c>
      <c r="R64" s="38">
        <v>2</v>
      </c>
      <c r="S64" s="38">
        <v>2</v>
      </c>
      <c r="T64" s="38">
        <v>2</v>
      </c>
      <c r="U64" s="38">
        <v>2</v>
      </c>
      <c r="V64" s="38">
        <v>2</v>
      </c>
      <c r="W64" s="38">
        <v>2</v>
      </c>
      <c r="X64" s="38">
        <v>2</v>
      </c>
      <c r="Y64" s="38">
        <v>2</v>
      </c>
      <c r="Z64" s="38">
        <v>2</v>
      </c>
      <c r="AA64" s="38">
        <v>2</v>
      </c>
      <c r="AB64" s="38">
        <v>2</v>
      </c>
      <c r="AC64" s="38">
        <v>2</v>
      </c>
      <c r="AD64" s="43">
        <v>0</v>
      </c>
      <c r="AE64" s="41">
        <v>0</v>
      </c>
    </row>
    <row r="65" spans="1:31">
      <c r="A65" s="37"/>
      <c r="B65" s="38" t="s">
        <v>91</v>
      </c>
      <c r="C65" s="39" t="s">
        <v>158</v>
      </c>
      <c r="D65" s="38" t="s">
        <v>35</v>
      </c>
      <c r="E65" s="38">
        <v>1</v>
      </c>
      <c r="F65" s="38">
        <v>1</v>
      </c>
      <c r="G65" s="41">
        <v>1</v>
      </c>
      <c r="H65" s="41">
        <v>1</v>
      </c>
      <c r="I65" s="41">
        <v>1</v>
      </c>
      <c r="J65" s="41">
        <v>1</v>
      </c>
      <c r="K65" s="41">
        <v>1</v>
      </c>
      <c r="L65" s="41">
        <v>1</v>
      </c>
      <c r="M65" s="41">
        <v>1</v>
      </c>
      <c r="N65" s="41">
        <v>1</v>
      </c>
      <c r="O65" s="41">
        <v>1</v>
      </c>
      <c r="P65" s="41">
        <v>1</v>
      </c>
      <c r="Q65" s="41">
        <v>1</v>
      </c>
      <c r="R65" s="41">
        <v>1</v>
      </c>
      <c r="S65" s="41">
        <v>1</v>
      </c>
      <c r="T65" s="41">
        <v>1</v>
      </c>
      <c r="U65" s="41">
        <v>1</v>
      </c>
      <c r="V65" s="41">
        <v>1</v>
      </c>
      <c r="W65" s="41">
        <v>1</v>
      </c>
      <c r="X65" s="41">
        <v>1</v>
      </c>
      <c r="Y65" s="41">
        <v>1</v>
      </c>
      <c r="Z65" s="41">
        <v>1</v>
      </c>
      <c r="AA65" s="41">
        <v>1</v>
      </c>
      <c r="AB65" s="41">
        <v>1</v>
      </c>
      <c r="AC65" s="41">
        <v>1</v>
      </c>
      <c r="AD65" s="41">
        <v>1</v>
      </c>
      <c r="AE65" s="43">
        <v>0</v>
      </c>
    </row>
    <row r="66" spans="1:31">
      <c r="A66" s="49" t="s">
        <v>20</v>
      </c>
      <c r="B66" s="49"/>
      <c r="C66" s="49" t="s">
        <v>14</v>
      </c>
      <c r="D66" s="49"/>
      <c r="E66" s="50">
        <f>SUM(E15:E65)</f>
        <v>57.5</v>
      </c>
      <c r="F66" s="51"/>
      <c r="G66" s="42">
        <f>SUM(G16:G65)</f>
        <v>55</v>
      </c>
      <c r="H66" s="42">
        <f>SUM(H16:H65)</f>
        <v>54</v>
      </c>
      <c r="I66" s="42">
        <f>SUM(I16:I65)</f>
        <v>53</v>
      </c>
      <c r="J66" s="42">
        <f>SUM(J16:J65)</f>
        <v>51</v>
      </c>
      <c r="K66" s="42">
        <f>SUM(K16:K65)</f>
        <v>49</v>
      </c>
      <c r="L66" s="42">
        <f>SUM(L16:L65)-L25</f>
        <v>46.5</v>
      </c>
      <c r="M66" s="42">
        <f t="shared" ref="M66:V66" si="3">SUM(M16:M65)</f>
        <v>45</v>
      </c>
      <c r="N66" s="42">
        <f t="shared" si="3"/>
        <v>44</v>
      </c>
      <c r="O66" s="42">
        <f t="shared" si="3"/>
        <v>42</v>
      </c>
      <c r="P66" s="42">
        <f t="shared" si="3"/>
        <v>40</v>
      </c>
      <c r="Q66" s="42">
        <f t="shared" si="3"/>
        <v>38</v>
      </c>
      <c r="R66" s="42">
        <f t="shared" si="3"/>
        <v>36</v>
      </c>
      <c r="S66" s="42">
        <f t="shared" si="3"/>
        <v>31</v>
      </c>
      <c r="T66" s="42">
        <f t="shared" si="3"/>
        <v>31</v>
      </c>
      <c r="U66" s="42">
        <f t="shared" si="3"/>
        <v>27</v>
      </c>
      <c r="V66" s="42">
        <f t="shared" si="3"/>
        <v>27</v>
      </c>
      <c r="W66" s="42">
        <f>SUM(W16:W65)-X44</f>
        <v>22</v>
      </c>
      <c r="X66" s="42">
        <f>SUM(X16:X65)</f>
        <v>22</v>
      </c>
      <c r="Y66" s="42">
        <f>SUM(Y16:Y65)</f>
        <v>14</v>
      </c>
      <c r="Z66" s="42">
        <f>SUM(Z16:Z65)</f>
        <v>10</v>
      </c>
      <c r="AA66" s="42">
        <f>SUM(AA16:AA65)</f>
        <v>6</v>
      </c>
      <c r="AB66" s="42">
        <f>SUM(AB16:AB65)</f>
        <v>6</v>
      </c>
      <c r="AC66" s="42">
        <f>SUM(AC16:AC65)-AD62</f>
        <v>4</v>
      </c>
      <c r="AD66" s="42">
        <f>SUM(AD16:AD65)-AD62</f>
        <v>1</v>
      </c>
      <c r="AE66" s="42">
        <f>SUM(AE16:AE65)</f>
        <v>0</v>
      </c>
    </row>
    <row r="67" spans="1:31">
      <c r="A67" s="52"/>
      <c r="B67" s="52"/>
      <c r="C67" s="52" t="s">
        <v>15</v>
      </c>
      <c r="D67" s="52"/>
      <c r="E67" s="53">
        <f>SUM(F15:F65)</f>
        <v>56</v>
      </c>
      <c r="F67" s="54"/>
      <c r="G67" s="55">
        <f t="shared" ref="G67:W67" si="4">SUM(F15:F65)</f>
        <v>56</v>
      </c>
      <c r="H67" s="55">
        <f t="shared" si="4"/>
        <v>55</v>
      </c>
      <c r="I67" s="55">
        <f t="shared" si="4"/>
        <v>54</v>
      </c>
      <c r="J67" s="55">
        <f t="shared" si="4"/>
        <v>53</v>
      </c>
      <c r="K67" s="55">
        <f t="shared" si="4"/>
        <v>51</v>
      </c>
      <c r="L67" s="55">
        <f t="shared" si="4"/>
        <v>49</v>
      </c>
      <c r="M67" s="55">
        <f t="shared" si="4"/>
        <v>47.5</v>
      </c>
      <c r="N67" s="55">
        <f t="shared" si="4"/>
        <v>45</v>
      </c>
      <c r="O67" s="55">
        <f t="shared" si="4"/>
        <v>44</v>
      </c>
      <c r="P67" s="55">
        <f t="shared" si="4"/>
        <v>42</v>
      </c>
      <c r="Q67" s="55">
        <f t="shared" si="4"/>
        <v>40</v>
      </c>
      <c r="R67" s="55">
        <f t="shared" si="4"/>
        <v>38</v>
      </c>
      <c r="S67" s="55">
        <f t="shared" si="4"/>
        <v>36</v>
      </c>
      <c r="T67" s="55">
        <f t="shared" si="4"/>
        <v>31</v>
      </c>
      <c r="U67" s="55">
        <f t="shared" si="4"/>
        <v>31</v>
      </c>
      <c r="V67" s="55">
        <f t="shared" si="4"/>
        <v>27</v>
      </c>
      <c r="W67" s="55">
        <f t="shared" si="4"/>
        <v>27</v>
      </c>
      <c r="X67" s="55">
        <f>SUM(W15:W65)-X44</f>
        <v>22</v>
      </c>
      <c r="Y67" s="55">
        <f>SUM(X15:X65)</f>
        <v>22</v>
      </c>
      <c r="Z67" s="55">
        <f>SUM(Y15:Y65)</f>
        <v>14</v>
      </c>
      <c r="AA67" s="55">
        <f>SUM(Z15:Z65)</f>
        <v>10</v>
      </c>
      <c r="AB67" s="55">
        <f>SUM(Z15:Z65)</f>
        <v>10</v>
      </c>
      <c r="AC67" s="55">
        <f>SUM(AB15:AB65)</f>
        <v>6</v>
      </c>
      <c r="AD67" s="55">
        <f>SUM(AC15:AC65)</f>
        <v>5</v>
      </c>
      <c r="AE67" s="42">
        <f>SUM(AE17:AE66)</f>
        <v>0</v>
      </c>
    </row>
    <row r="68" ht="16.8" spans="1:31">
      <c r="A68" s="56"/>
      <c r="B68" s="56"/>
      <c r="C68" s="57"/>
      <c r="D68" s="57"/>
      <c r="E68" s="58"/>
      <c r="F68" s="58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60"/>
      <c r="Z68" s="60"/>
      <c r="AA68" s="61"/>
      <c r="AB68" s="61"/>
    </row>
    <row r="69" ht="16.8" spans="1:31">
      <c r="A69" s="56"/>
      <c r="B69" s="56"/>
      <c r="C69" s="57"/>
      <c r="D69" s="57"/>
      <c r="E69" s="58"/>
      <c r="F69" s="58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60"/>
      <c r="Z69" s="60"/>
      <c r="AA69" s="61"/>
      <c r="AB69" s="61"/>
    </row>
    <row r="70" ht="16.8" spans="1:31">
      <c r="A70" s="56"/>
      <c r="B70" s="56"/>
      <c r="C70" s="58"/>
      <c r="D70" s="58"/>
      <c r="E70" s="58"/>
      <c r="F70" s="58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61"/>
      <c r="Y70" s="60"/>
      <c r="Z70" s="60"/>
      <c r="AA70" s="61"/>
      <c r="AB70" s="61"/>
    </row>
    <row r="71" ht="16.8" spans="1:31">
      <c r="A71" s="56"/>
      <c r="B71" s="56"/>
      <c r="C71" s="57"/>
      <c r="D71" s="57"/>
      <c r="E71" s="58"/>
      <c r="F71" s="58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60"/>
      <c r="Z71" s="60"/>
      <c r="AA71" s="61"/>
      <c r="AB71" s="61"/>
    </row>
    <row r="72" ht="16.8" spans="1:31">
      <c r="A72" s="56"/>
      <c r="B72" s="56"/>
      <c r="C72" s="57"/>
      <c r="D72" s="57"/>
      <c r="E72" s="58"/>
      <c r="F72" s="58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60"/>
      <c r="Z72" s="60"/>
      <c r="AA72" s="61"/>
      <c r="AB72" s="61"/>
    </row>
    <row r="73" ht="16.8" spans="1:31">
      <c r="A73" s="56"/>
      <c r="B73" s="56"/>
      <c r="C73" s="58"/>
      <c r="D73" s="58"/>
      <c r="E73" s="58"/>
      <c r="F73" s="58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61"/>
      <c r="Y73" s="60"/>
      <c r="Z73" s="60"/>
      <c r="AA73" s="61"/>
      <c r="AB73" s="61"/>
    </row>
    <row r="74" ht="16.8" spans="1:31">
      <c r="A74" s="56"/>
      <c r="B74" s="56"/>
      <c r="C74" s="57"/>
      <c r="D74" s="57"/>
      <c r="E74" s="58"/>
      <c r="F74" s="58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60"/>
      <c r="Z74" s="60"/>
      <c r="AA74" s="61"/>
      <c r="AB74" s="61"/>
    </row>
    <row r="75" ht="16.8" spans="1:31">
      <c r="A75" s="56"/>
      <c r="B75" s="56"/>
      <c r="C75" s="57"/>
      <c r="D75" s="57"/>
      <c r="E75" s="58"/>
      <c r="F75" s="58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60"/>
      <c r="Z75" s="60"/>
      <c r="AA75" s="61"/>
      <c r="AB75" s="61"/>
    </row>
    <row r="76" ht="16.8" spans="1:31">
      <c r="A76" s="56"/>
      <c r="B76" s="56"/>
      <c r="C76" s="57"/>
      <c r="D76" s="57"/>
      <c r="E76" s="58"/>
      <c r="F76" s="58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60"/>
      <c r="Z76" s="60"/>
      <c r="AA76" s="61"/>
      <c r="AB76" s="61"/>
    </row>
    <row r="77" ht="16.8" spans="1:31">
      <c r="A77" s="56"/>
      <c r="B77" s="56"/>
      <c r="C77" s="57"/>
      <c r="D77" s="57"/>
      <c r="E77" s="58"/>
      <c r="F77" s="58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60"/>
      <c r="Z77" s="60"/>
      <c r="AA77" s="61"/>
      <c r="AB77" s="61"/>
    </row>
    <row r="78" ht="16.8" spans="1:31">
      <c r="A78" s="56"/>
      <c r="B78" s="62"/>
      <c r="C78" s="62"/>
      <c r="D78" s="62"/>
      <c r="E78" s="63"/>
      <c r="F78" s="63"/>
      <c r="G78" s="58"/>
      <c r="H78" s="58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61"/>
      <c r="AB78" s="61"/>
    </row>
    <row r="79" ht="16.8" spans="1:31">
      <c r="A79" s="56"/>
      <c r="B79" s="62"/>
      <c r="C79" s="62"/>
      <c r="D79" s="62"/>
      <c r="E79" s="63"/>
      <c r="F79" s="63"/>
      <c r="G79" s="58"/>
      <c r="H79" s="58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61"/>
      <c r="AB79" s="61"/>
    </row>
    <row r="100" spans="3:4">
      <c r="C100" s="64"/>
      <c r="D100" s="64"/>
    </row>
  </sheetData>
  <mergeCells count="18">
    <mergeCell ref="A1:B1"/>
    <mergeCell ref="A2:B2"/>
    <mergeCell ref="A3:B3"/>
    <mergeCell ref="A4:B4"/>
    <mergeCell ref="B6:E6"/>
    <mergeCell ref="B12:C12"/>
    <mergeCell ref="C66:D66"/>
    <mergeCell ref="E66:F66"/>
    <mergeCell ref="C67:D67"/>
    <mergeCell ref="E67:F67"/>
    <mergeCell ref="C100:D100"/>
    <mergeCell ref="A15:A65"/>
    <mergeCell ref="B15:B17"/>
    <mergeCell ref="B18:B27"/>
    <mergeCell ref="B28:B36"/>
    <mergeCell ref="B37:B45"/>
    <mergeCell ref="B46:B64"/>
    <mergeCell ref="A66:B67"/>
  </mergeCells>
  <pageMargins left="0.7" right="0.7" top="0.75" bottom="0.75" header="0.3" footer="0.3"/>
  <pageSetup paperSize="1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C6" sqref="C6"/>
    </sheetView>
  </sheetViews>
  <sheetFormatPr defaultColWidth="9" defaultRowHeight="14.4"/>
  <cols>
    <col min="2" max="9" width="10" customWidth="1"/>
  </cols>
  <sheetData>
    <row r="1" ht="16.8" spans="1:9">
      <c r="A1" s="1" t="s">
        <v>159</v>
      </c>
      <c r="B1" s="2"/>
      <c r="C1" s="2"/>
      <c r="D1" s="2"/>
      <c r="E1" s="2"/>
      <c r="F1" s="2"/>
      <c r="G1" s="2"/>
      <c r="H1" s="2"/>
      <c r="I1" s="2"/>
    </row>
    <row r="2" ht="16.8" spans="1:9">
      <c r="A2" s="3"/>
      <c r="B2" s="4" t="s">
        <v>66</v>
      </c>
      <c r="C2" s="4"/>
      <c r="D2" s="4" t="s">
        <v>160</v>
      </c>
      <c r="E2" s="4"/>
      <c r="F2" s="4" t="s">
        <v>64</v>
      </c>
      <c r="G2" s="4"/>
      <c r="H2" s="4" t="s">
        <v>42</v>
      </c>
      <c r="I2" s="4"/>
    </row>
    <row r="3" ht="16.8" spans="1:9">
      <c r="A3" s="3"/>
      <c r="B3" s="4" t="s">
        <v>14</v>
      </c>
      <c r="C3" s="4" t="s">
        <v>15</v>
      </c>
      <c r="D3" s="4" t="s">
        <v>14</v>
      </c>
      <c r="E3" s="4" t="s">
        <v>15</v>
      </c>
      <c r="F3" s="4" t="s">
        <v>14</v>
      </c>
      <c r="G3" s="4" t="s">
        <v>15</v>
      </c>
      <c r="H3" s="4" t="s">
        <v>14</v>
      </c>
      <c r="I3" s="4" t="s">
        <v>15</v>
      </c>
    </row>
    <row r="4" ht="16.8" spans="1:9">
      <c r="A4" s="5" t="s">
        <v>4</v>
      </c>
      <c r="B4" s="6">
        <f>'Sprint 1'!$D$8</f>
        <v>18</v>
      </c>
      <c r="C4" s="6">
        <f>'Sprint 1'!$E$8</f>
        <v>18</v>
      </c>
      <c r="D4" s="6">
        <f>'Sprint 1'!$D$9</f>
        <v>18.5</v>
      </c>
      <c r="E4" s="6">
        <f>'Sprint 1'!$E$9</f>
        <v>19</v>
      </c>
      <c r="F4" s="6">
        <f>'Sprint 1'!$D$10</f>
        <v>21</v>
      </c>
      <c r="G4" s="6">
        <f>'Sprint 1'!$E$10</f>
        <v>19</v>
      </c>
      <c r="H4" s="6">
        <f>'Sprint 1'!$D$11</f>
        <v>19</v>
      </c>
      <c r="I4" s="6">
        <f>'Sprint 1'!$E$11</f>
        <v>19</v>
      </c>
    </row>
    <row r="5" ht="16.8" spans="1:9">
      <c r="A5" s="5" t="s">
        <v>93</v>
      </c>
      <c r="B5" s="6">
        <f>'Sprint 2'!$D$8</f>
        <v>18</v>
      </c>
      <c r="C5" s="6">
        <f>'Sprint 2'!$E$8</f>
        <v>18</v>
      </c>
      <c r="D5" s="6">
        <f>'Sprint 2'!$D$9</f>
        <v>19.5</v>
      </c>
      <c r="E5" s="6">
        <f>'Sprint 2'!$E$9</f>
        <v>19</v>
      </c>
      <c r="F5" s="6">
        <f>'Sprint 2'!$D$11</f>
        <v>20</v>
      </c>
      <c r="G5" s="6">
        <f>'Sprint 2'!$E$11</f>
        <v>19</v>
      </c>
      <c r="H5" s="6">
        <f>'Sprint 2'!$D$10</f>
        <v>19</v>
      </c>
      <c r="I5" s="6">
        <f>'Sprint 2'!$E$10</f>
        <v>19</v>
      </c>
    </row>
    <row r="6" ht="17.55" spans="1:9">
      <c r="A6" s="7" t="s">
        <v>20</v>
      </c>
      <c r="B6" s="8">
        <f t="shared" ref="B6:K6" si="0">SUM(B4:B5)</f>
        <v>36</v>
      </c>
      <c r="C6" s="8">
        <f t="shared" si="0"/>
        <v>36</v>
      </c>
      <c r="D6" s="8">
        <f t="shared" si="0"/>
        <v>38</v>
      </c>
      <c r="E6" s="8">
        <f t="shared" si="0"/>
        <v>38</v>
      </c>
      <c r="F6" s="8">
        <f t="shared" si="0"/>
        <v>41</v>
      </c>
      <c r="G6" s="8">
        <f t="shared" si="0"/>
        <v>38</v>
      </c>
      <c r="H6" s="8">
        <f t="shared" si="0"/>
        <v>38</v>
      </c>
      <c r="I6" s="8">
        <f t="shared" si="0"/>
        <v>38</v>
      </c>
    </row>
    <row r="8" ht="15.15"/>
    <row r="9" ht="16.8" spans="1:9">
      <c r="E9" s="9" t="s">
        <v>161</v>
      </c>
      <c r="F9" s="10"/>
    </row>
    <row r="10" ht="16.8" spans="1:9">
      <c r="E10" s="11" t="s">
        <v>14</v>
      </c>
      <c r="F10" s="12">
        <f>SUMIF($B$3:$I$3,"Thực tế",$B$6:$I$6)</f>
        <v>153</v>
      </c>
    </row>
    <row r="11" ht="17.55" spans="1:9">
      <c r="E11" s="13" t="s">
        <v>15</v>
      </c>
      <c r="F11" s="14">
        <f>SUMIF($B$3:$I$3,"Ước tính",$B$6:$I$6)</f>
        <v>150</v>
      </c>
    </row>
  </sheetData>
  <mergeCells count="7">
    <mergeCell ref="A1:I1"/>
    <mergeCell ref="B2:C2"/>
    <mergeCell ref="D2:E2"/>
    <mergeCell ref="F2:G2"/>
    <mergeCell ref="H2:I2"/>
    <mergeCell ref="E9:F9"/>
    <mergeCell ref="A2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Sprint 1</vt:lpstr>
      <vt:lpstr>Sprint 2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2021-04-23T08:05:00Z</dcterms:created>
  <dcterms:modified xsi:type="dcterms:W3CDTF">2026-10-01T19:00:21Z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AC01235241A84476897219EC8EA6CE1A_13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